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310725\DORNE\AUREILLE\DCE\DPGF\"/>
    </mc:Choice>
  </mc:AlternateContent>
  <xr:revisionPtr revIDLastSave="0" documentId="13_ncr:1_{5EFAFB12-D751-4383-9C06-58E01A3E90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T 1D" sheetId="1" r:id="rId1"/>
  </sheets>
  <definedNames>
    <definedName name="_xlnm.Print_Area" localSheetId="0">'LOT 1D'!$A$1:$S$28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2" i="1" l="1"/>
  <c r="M23" i="1"/>
  <c r="M5" i="1"/>
  <c r="M6" i="1"/>
  <c r="M11" i="1"/>
  <c r="M13" i="1" s="1"/>
  <c r="M12" i="1"/>
  <c r="M14" i="1"/>
  <c r="M15" i="1"/>
  <c r="M16" i="1"/>
  <c r="M19" i="1"/>
  <c r="M20" i="1"/>
  <c r="M24" i="1" s="1"/>
  <c r="M21" i="1"/>
  <c r="M10" i="1"/>
  <c r="M4" i="1"/>
  <c r="M3" i="1"/>
  <c r="M7" i="1" s="1"/>
  <c r="M18" i="1" l="1"/>
  <c r="M25" i="1"/>
  <c r="N24" i="1"/>
  <c r="M26" i="1" l="1"/>
  <c r="M27" i="1" s="1"/>
</calcChain>
</file>

<file path=xl/sharedStrings.xml><?xml version="1.0" encoding="utf-8"?>
<sst xmlns="http://schemas.openxmlformats.org/spreadsheetml/2006/main" count="50" uniqueCount="45">
  <si>
    <r>
      <rPr>
        <b/>
        <sz val="9.5"/>
        <rFont val="Candara"/>
        <family val="2"/>
      </rPr>
      <t>N°</t>
    </r>
  </si>
  <si>
    <r>
      <rPr>
        <b/>
        <sz val="9.5"/>
        <rFont val="Candara"/>
        <family val="2"/>
      </rPr>
      <t>LOT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01D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-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Clôtures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-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Plantations</t>
    </r>
  </si>
  <si>
    <r>
      <rPr>
        <b/>
        <sz val="9.5"/>
        <rFont val="Candara"/>
        <family val="2"/>
      </rPr>
      <t>U</t>
    </r>
  </si>
  <si>
    <r>
      <rPr>
        <b/>
        <sz val="9.5"/>
        <rFont val="Candara"/>
        <family val="2"/>
      </rPr>
      <t>PU</t>
    </r>
  </si>
  <si>
    <r>
      <rPr>
        <b/>
        <sz val="7.5"/>
        <rFont val="Candara"/>
        <family val="2"/>
      </rPr>
      <t>Quantités</t>
    </r>
  </si>
  <si>
    <r>
      <rPr>
        <b/>
        <sz val="9.5"/>
        <rFont val="Candara"/>
        <family val="2"/>
      </rPr>
      <t>Montant</t>
    </r>
    <r>
      <rPr>
        <sz val="9.5"/>
        <rFont val="Times New Roman"/>
        <family val="1"/>
      </rPr>
      <t xml:space="preserve"> </t>
    </r>
    <r>
      <rPr>
        <b/>
        <sz val="9.5"/>
        <rFont val="Candara"/>
        <family val="2"/>
      </rPr>
      <t>H.T.</t>
    </r>
  </si>
  <si>
    <r>
      <rPr>
        <sz val="9.5"/>
        <rFont val="Candara"/>
        <family val="2"/>
      </rPr>
      <t>01.2</t>
    </r>
  </si>
  <si>
    <r>
      <rPr>
        <sz val="9.5"/>
        <rFont val="Candara"/>
        <family val="2"/>
      </rPr>
      <t>u</t>
    </r>
  </si>
  <si>
    <r>
      <rPr>
        <sz val="9.5"/>
        <rFont val="Candara"/>
        <family val="2"/>
      </rPr>
      <t>02.1</t>
    </r>
  </si>
  <si>
    <r>
      <rPr>
        <sz val="9.5"/>
        <rFont val="Candara"/>
        <family val="2"/>
      </rPr>
      <t>ml</t>
    </r>
  </si>
  <si>
    <r>
      <rPr>
        <sz val="9.5"/>
        <rFont val="Candara"/>
        <family val="2"/>
      </rPr>
      <t>02.2</t>
    </r>
  </si>
  <si>
    <t>Plantations</t>
  </si>
  <si>
    <t>Végétaux</t>
  </si>
  <si>
    <t>Total HT 01</t>
  </si>
  <si>
    <t>Clotures</t>
  </si>
  <si>
    <t>Clôture treillis en panneaux à plis</t>
  </si>
  <si>
    <t>Total HT 02</t>
  </si>
  <si>
    <t>Montant HT LOT N° 01D</t>
  </si>
  <si>
    <t>TVA 20 %</t>
  </si>
  <si>
    <t>Montant T.T.C. LOT N° 01D</t>
  </si>
  <si>
    <t>ml</t>
  </si>
  <si>
    <t>Arbres tiges en containers 15 l - Chene Microcouliers  taille 18/20</t>
  </si>
  <si>
    <t>Arbres type Oliviers trasnsplanrés</t>
  </si>
  <si>
    <t>arrosage goutte a goutte avec programmateur et electrovanne</t>
  </si>
  <si>
    <t>ft</t>
  </si>
  <si>
    <t>b) hauteur 140m sur plots séparatifs jardins</t>
  </si>
  <si>
    <t>Barriere DFCI pivotante</t>
  </si>
  <si>
    <t>Muret ht 1ml yc enduit  trottoir acces</t>
  </si>
  <si>
    <t>Total HT 03</t>
  </si>
  <si>
    <t>arceaux velos zone de stationnement 2 roues</t>
  </si>
  <si>
    <t>un</t>
  </si>
  <si>
    <t>jeux d enfants en bois sur aire de jeix 1 balancoire et 1 cabane</t>
  </si>
  <si>
    <t>Mobilier urbain et divers  jeux</t>
  </si>
  <si>
    <t>Murs et divers GC</t>
  </si>
  <si>
    <t>03.1</t>
  </si>
  <si>
    <t>03.2</t>
  </si>
  <si>
    <t>04.01</t>
  </si>
  <si>
    <t>04.02</t>
  </si>
  <si>
    <t>Total HT 04</t>
  </si>
  <si>
    <t>u</t>
  </si>
  <si>
    <t>04.03</t>
  </si>
  <si>
    <t>banc publics bois</t>
  </si>
  <si>
    <t>Mur bahut ht 180 local OM entreposage yc siphon vers EP et puisage yc dallage</t>
  </si>
  <si>
    <t>04.04</t>
  </si>
  <si>
    <t>carre jardins partager en 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</si>
</sst>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0"/>
  </numFmts>
  <fonts count="13" x14ac:knownFonts="1">
    <font>
      <sz val="10"/>
      <color rgb="FF000000"/>
      <name val="Times New Roman"/>
      <charset val="204"/>
    </font>
    <font>
      <b/>
      <sz val="9.5"/>
      <name val="Candara"/>
      <family val="2"/>
    </font>
    <font>
      <b/>
      <sz val="7.5"/>
      <name val="Candara"/>
      <family val="2"/>
    </font>
    <font>
      <b/>
      <sz val="9.5"/>
      <color rgb="FF000000"/>
      <name val="Candara"/>
      <family val="2"/>
    </font>
    <font>
      <sz val="9.5"/>
      <name val="Candara"/>
      <family val="2"/>
    </font>
    <font>
      <sz val="9.5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Candara"/>
      <family val="2"/>
    </font>
    <font>
      <b/>
      <sz val="10"/>
      <color rgb="FF000000"/>
      <name val="Candara"/>
      <family val="2"/>
    </font>
    <font>
      <sz val="9.5"/>
      <color rgb="FF000000"/>
      <name val="Candara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67"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164" fontId="3" fillId="0" borderId="8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164" fontId="3" fillId="0" borderId="11" xfId="0" applyNumberFormat="1" applyFont="1" applyBorder="1" applyAlignment="1">
      <alignment horizontal="center" vertical="top" shrinkToFit="1"/>
    </xf>
    <xf numFmtId="0" fontId="0" fillId="0" borderId="15" xfId="0" applyBorder="1" applyAlignment="1">
      <alignment horizontal="left" vertical="center" wrapText="1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164" fontId="11" fillId="0" borderId="11" xfId="0" applyNumberFormat="1" applyFont="1" applyBorder="1" applyAlignment="1">
      <alignment horizontal="center" vertical="top" shrinkToFit="1"/>
    </xf>
    <xf numFmtId="0" fontId="6" fillId="0" borderId="11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top"/>
    </xf>
    <xf numFmtId="44" fontId="9" fillId="0" borderId="9" xfId="1" applyFont="1" applyFill="1" applyBorder="1" applyAlignment="1">
      <alignment horizontal="right" vertical="top" shrinkToFit="1"/>
    </xf>
    <xf numFmtId="44" fontId="9" fillId="0" borderId="0" xfId="1" applyFont="1" applyFill="1" applyBorder="1" applyAlignment="1">
      <alignment horizontal="right" vertical="top" shrinkToFit="1"/>
    </xf>
    <xf numFmtId="44" fontId="9" fillId="0" borderId="10" xfId="1" applyFont="1" applyFill="1" applyBorder="1" applyAlignment="1">
      <alignment horizontal="right" vertical="top" shrinkToFit="1"/>
    </xf>
    <xf numFmtId="0" fontId="7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10" fillId="0" borderId="9" xfId="1" applyFont="1" applyFill="1" applyBorder="1" applyAlignment="1">
      <alignment horizontal="right" vertical="top" shrinkToFit="1"/>
    </xf>
    <xf numFmtId="44" fontId="10" fillId="0" borderId="0" xfId="1" applyFont="1" applyFill="1" applyBorder="1" applyAlignment="1">
      <alignment horizontal="right" vertical="top" shrinkToFit="1"/>
    </xf>
    <xf numFmtId="44" fontId="10" fillId="0" borderId="10" xfId="1" applyFont="1" applyFill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top" wrapText="1" indent="8"/>
    </xf>
    <xf numFmtId="0" fontId="0" fillId="0" borderId="3" xfId="0" applyBorder="1" applyAlignment="1">
      <alignment horizontal="left" vertical="top" wrapText="1" indent="8"/>
    </xf>
    <xf numFmtId="0" fontId="0" fillId="0" borderId="4" xfId="0" applyBorder="1" applyAlignment="1">
      <alignment horizontal="left" vertical="top" wrapText="1" indent="8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44" fontId="10" fillId="0" borderId="12" xfId="1" applyFont="1" applyFill="1" applyBorder="1" applyAlignment="1">
      <alignment horizontal="right" vertical="top" shrinkToFit="1"/>
    </xf>
    <xf numFmtId="44" fontId="10" fillId="0" borderId="13" xfId="1" applyFont="1" applyFill="1" applyBorder="1" applyAlignment="1">
      <alignment horizontal="right" vertical="top" shrinkToFit="1"/>
    </xf>
    <xf numFmtId="44" fontId="10" fillId="0" borderId="14" xfId="1" applyFont="1" applyFill="1" applyBorder="1" applyAlignment="1">
      <alignment horizontal="right" vertical="top" shrinkToFit="1"/>
    </xf>
    <xf numFmtId="44" fontId="6" fillId="0" borderId="5" xfId="1" applyFont="1" applyFill="1" applyBorder="1" applyAlignment="1">
      <alignment horizontal="left" vertical="center" wrapText="1"/>
    </xf>
    <xf numFmtId="44" fontId="6" fillId="0" borderId="6" xfId="1" applyFont="1" applyFill="1" applyBorder="1" applyAlignment="1">
      <alignment horizontal="left" vertical="center" wrapText="1"/>
    </xf>
    <xf numFmtId="44" fontId="6" fillId="0" borderId="7" xfId="1" applyFont="1" applyFill="1" applyBorder="1" applyAlignment="1">
      <alignment horizontal="left" vertical="center" wrapText="1"/>
    </xf>
    <xf numFmtId="44" fontId="10" fillId="0" borderId="9" xfId="1" applyFont="1" applyFill="1" applyBorder="1" applyAlignment="1">
      <alignment horizontal="right" vertical="center" shrinkToFit="1"/>
    </xf>
    <xf numFmtId="44" fontId="10" fillId="0" borderId="0" xfId="1" applyFont="1" applyFill="1" applyBorder="1" applyAlignment="1">
      <alignment horizontal="right" vertical="center" shrinkToFit="1"/>
    </xf>
    <xf numFmtId="44" fontId="10" fillId="0" borderId="10" xfId="1" applyFont="1" applyFill="1" applyBorder="1" applyAlignment="1">
      <alignment horizontal="right" vertical="center" shrinkToFit="1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4609592" y="2876803"/>
    <xdr:ext cx="6350" cy="14478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8</xdr:col>
      <xdr:colOff>482092</xdr:colOff>
      <xdr:row>0</xdr:row>
      <xdr:rowOff>0</xdr:rowOff>
    </xdr:from>
    <xdr:ext cx="6350" cy="58419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350" cy="58419"/>
        </a:xfrm>
        <a:custGeom>
          <a:avLst/>
          <a:gdLst/>
          <a:ahLst/>
          <a:cxnLst/>
          <a:rect l="0" t="0" r="0" b="0"/>
          <a:pathLst>
            <a:path w="6350" h="58419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57912"/>
              </a:lnTo>
              <a:lnTo>
                <a:pt x="6096" y="57912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16</xdr:col>
      <xdr:colOff>43180</xdr:colOff>
      <xdr:row>0</xdr:row>
      <xdr:rowOff>0</xdr:rowOff>
    </xdr:from>
    <xdr:ext cx="591311" cy="15239"/>
    <xdr:pic>
      <xdr:nvPicPr>
        <xdr:cNvPr id="30" name="image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311" cy="15239"/>
        </a:xfrm>
        <a:prstGeom prst="rect">
          <a:avLst/>
        </a:prstGeom>
      </xdr:spPr>
    </xdr:pic>
    <xdr:clientData/>
  </xdr:oneCellAnchor>
  <xdr:oneCellAnchor>
    <xdr:from>
      <xdr:col>3</xdr:col>
      <xdr:colOff>637539</xdr:colOff>
      <xdr:row>0</xdr:row>
      <xdr:rowOff>0</xdr:rowOff>
    </xdr:from>
    <xdr:ext cx="711707" cy="7619"/>
    <xdr:pic>
      <xdr:nvPicPr>
        <xdr:cNvPr id="31" name="image6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707" cy="7619"/>
        </a:xfrm>
        <a:prstGeom prst="rect">
          <a:avLst/>
        </a:prstGeom>
      </xdr:spPr>
    </xdr:pic>
    <xdr:clientData/>
  </xdr:oneCellAnchor>
  <xdr:oneCellAnchor>
    <xdr:from>
      <xdr:col>3</xdr:col>
      <xdr:colOff>755904</xdr:colOff>
      <xdr:row>0</xdr:row>
      <xdr:rowOff>0</xdr:rowOff>
    </xdr:from>
    <xdr:ext cx="472439" cy="30479"/>
    <xdr:pic>
      <xdr:nvPicPr>
        <xdr:cNvPr id="33" name="image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2439" cy="30479"/>
        </a:xfrm>
        <a:prstGeom prst="rect">
          <a:avLst/>
        </a:prstGeom>
      </xdr:spPr>
    </xdr:pic>
    <xdr:clientData/>
  </xdr:oneCellAnchor>
  <xdr:oneCellAnchor>
    <xdr:from>
      <xdr:col>8</xdr:col>
      <xdr:colOff>482092</xdr:colOff>
      <xdr:row>0</xdr:row>
      <xdr:rowOff>0</xdr:rowOff>
    </xdr:from>
    <xdr:ext cx="6350" cy="14478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4A35C536-C97A-4B72-8C1A-2F87D31A8ED7}"/>
            </a:ext>
          </a:extLst>
        </xdr:cNvPr>
        <xdr:cNvSpPr/>
      </xdr:nvSpPr>
      <xdr:spPr>
        <a:xfrm>
          <a:off x="5480812" y="1432560"/>
          <a:ext cx="6350" cy="144780"/>
        </a:xfrm>
        <a:custGeom>
          <a:avLst/>
          <a:gdLst/>
          <a:ahLst/>
          <a:cxnLst/>
          <a:rect l="0" t="0" r="0" b="0"/>
          <a:pathLst>
            <a:path w="6350" h="144780">
              <a:moveTo>
                <a:pt x="6096" y="0"/>
              </a:moveTo>
              <a:lnTo>
                <a:pt x="0" y="0"/>
              </a:lnTo>
              <a:lnTo>
                <a:pt x="0" y="6096"/>
              </a:lnTo>
              <a:lnTo>
                <a:pt x="0" y="144780"/>
              </a:lnTo>
              <a:lnTo>
                <a:pt x="6096" y="144780"/>
              </a:lnTo>
              <a:lnTo>
                <a:pt x="6096" y="6096"/>
              </a:lnTo>
              <a:lnTo>
                <a:pt x="60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14</xdr:col>
      <xdr:colOff>43180</xdr:colOff>
      <xdr:row>0</xdr:row>
      <xdr:rowOff>0</xdr:rowOff>
    </xdr:from>
    <xdr:ext cx="591311" cy="15239"/>
    <xdr:pic>
      <xdr:nvPicPr>
        <xdr:cNvPr id="37" name="image5.png">
          <a:extLst>
            <a:ext uri="{FF2B5EF4-FFF2-40B4-BE49-F238E27FC236}">
              <a16:creationId xmlns:a16="http://schemas.microsoft.com/office/drawing/2014/main" id="{E93BEAB6-3B1C-499C-AF14-BC45C5A8F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4100" y="1057651"/>
          <a:ext cx="591311" cy="152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view="pageBreakPreview" topLeftCell="A10" zoomScale="85" zoomScaleNormal="100" zoomScaleSheetLayoutView="85" workbookViewId="0">
      <selection activeCell="K17" sqref="K17"/>
    </sheetView>
  </sheetViews>
  <sheetFormatPr baseColWidth="10" defaultColWidth="8.8984375" defaultRowHeight="13" x14ac:dyDescent="0.3"/>
  <cols>
    <col min="1" max="1" width="11.59765625" customWidth="1"/>
    <col min="2" max="2" width="6.8984375" customWidth="1"/>
    <col min="3" max="3" width="17.296875" customWidth="1"/>
    <col min="4" max="4" width="16.19921875" customWidth="1"/>
    <col min="5" max="5" width="15.09765625" customWidth="1"/>
    <col min="6" max="7" width="1.09765625" customWidth="1"/>
    <col min="8" max="8" width="5.796875" customWidth="1"/>
    <col min="9" max="9" width="9.296875" customWidth="1"/>
    <col min="10" max="10" width="2.19921875" hidden="1" customWidth="1"/>
    <col min="11" max="11" width="8" customWidth="1"/>
    <col min="12" max="12" width="4.69921875" hidden="1" customWidth="1"/>
    <col min="13" max="13" width="1.09765625" customWidth="1"/>
    <col min="14" max="14" width="6.8984375" customWidth="1"/>
    <col min="15" max="15" width="5.796875" customWidth="1"/>
    <col min="16" max="17" width="3.296875" customWidth="1"/>
    <col min="18" max="18" width="4.69921875" customWidth="1"/>
    <col min="19" max="19" width="5.796875" customWidth="1"/>
    <col min="21" max="21" width="25.09765625" customWidth="1"/>
  </cols>
  <sheetData>
    <row r="1" spans="1:22" ht="23" customHeight="1" x14ac:dyDescent="0.3">
      <c r="A1" s="2" t="s">
        <v>0</v>
      </c>
      <c r="B1" s="49" t="s">
        <v>1</v>
      </c>
      <c r="C1" s="50"/>
      <c r="D1" s="50"/>
      <c r="E1" s="50"/>
      <c r="F1" s="50"/>
      <c r="G1" s="51"/>
      <c r="H1" s="2" t="s">
        <v>2</v>
      </c>
      <c r="I1" s="52" t="s">
        <v>3</v>
      </c>
      <c r="J1" s="53"/>
      <c r="K1" s="54" t="s">
        <v>4</v>
      </c>
      <c r="L1" s="55"/>
      <c r="M1" s="45" t="s">
        <v>5</v>
      </c>
      <c r="N1" s="46"/>
      <c r="O1" s="47"/>
      <c r="P1" s="42"/>
      <c r="Q1" s="42"/>
      <c r="R1" s="42"/>
    </row>
    <row r="2" spans="1:22" ht="18" customHeight="1" x14ac:dyDescent="0.3">
      <c r="A2" s="3">
        <v>1</v>
      </c>
      <c r="B2" s="56" t="s">
        <v>11</v>
      </c>
      <c r="C2" s="57"/>
      <c r="D2" s="57"/>
      <c r="E2" s="57"/>
      <c r="F2" s="16"/>
      <c r="G2" s="17"/>
      <c r="H2" s="1"/>
      <c r="I2" s="9"/>
      <c r="J2" s="10"/>
      <c r="K2" s="9"/>
      <c r="L2" s="10"/>
      <c r="M2" s="61"/>
      <c r="N2" s="62"/>
      <c r="O2" s="63"/>
      <c r="P2" s="42"/>
      <c r="Q2" s="42"/>
      <c r="R2" s="42"/>
    </row>
    <row r="3" spans="1:22" ht="16" customHeight="1" x14ac:dyDescent="0.3">
      <c r="A3" s="4" t="s">
        <v>6</v>
      </c>
      <c r="B3" s="44" t="s">
        <v>12</v>
      </c>
      <c r="C3" s="38"/>
      <c r="D3" s="38"/>
      <c r="E3" s="38"/>
      <c r="F3" s="18"/>
      <c r="G3" s="19"/>
      <c r="H3" s="5"/>
      <c r="I3" s="11"/>
      <c r="J3" s="12"/>
      <c r="K3" s="11"/>
      <c r="L3" s="12"/>
      <c r="M3" s="28">
        <f t="shared" ref="M3:M4" si="0">I3*K3</f>
        <v>0</v>
      </c>
      <c r="N3" s="29"/>
      <c r="O3" s="30"/>
      <c r="P3" s="48"/>
      <c r="Q3" s="48"/>
      <c r="R3" s="48"/>
    </row>
    <row r="4" spans="1:22" x14ac:dyDescent="0.3">
      <c r="A4" s="6"/>
      <c r="B4" s="37" t="s">
        <v>21</v>
      </c>
      <c r="C4" s="38"/>
      <c r="D4" s="38"/>
      <c r="E4" s="38"/>
      <c r="F4" s="18"/>
      <c r="G4" s="19"/>
      <c r="H4" s="4" t="s">
        <v>7</v>
      </c>
      <c r="I4" s="11"/>
      <c r="J4" s="12"/>
      <c r="K4" s="11">
        <v>65</v>
      </c>
      <c r="L4" s="12"/>
      <c r="M4" s="28">
        <f t="shared" si="0"/>
        <v>0</v>
      </c>
      <c r="N4" s="29"/>
      <c r="O4" s="30"/>
      <c r="P4" s="42"/>
      <c r="Q4" s="42"/>
      <c r="R4" s="42"/>
    </row>
    <row r="5" spans="1:22" x14ac:dyDescent="0.3">
      <c r="A5" s="6"/>
      <c r="B5" s="37" t="s">
        <v>22</v>
      </c>
      <c r="C5" s="38"/>
      <c r="D5" s="38"/>
      <c r="E5" s="38"/>
      <c r="F5" s="18"/>
      <c r="G5" s="19"/>
      <c r="H5" s="4" t="s">
        <v>39</v>
      </c>
      <c r="I5" s="11"/>
      <c r="J5" s="12"/>
      <c r="K5" s="11">
        <v>5</v>
      </c>
      <c r="L5" s="12"/>
      <c r="M5" s="28">
        <f t="shared" ref="M5:M6" si="1">I5*K5</f>
        <v>0</v>
      </c>
      <c r="N5" s="29"/>
      <c r="O5" s="30"/>
      <c r="P5" s="23"/>
      <c r="Q5" s="23"/>
      <c r="R5" s="23"/>
    </row>
    <row r="6" spans="1:22" x14ac:dyDescent="0.3">
      <c r="A6" s="6"/>
      <c r="B6" s="37" t="s">
        <v>23</v>
      </c>
      <c r="C6" s="38"/>
      <c r="D6" s="38"/>
      <c r="E6" s="38"/>
      <c r="F6" s="18"/>
      <c r="G6" s="19"/>
      <c r="H6" s="4" t="s">
        <v>24</v>
      </c>
      <c r="I6" s="11"/>
      <c r="J6" s="12"/>
      <c r="K6" s="11">
        <v>1</v>
      </c>
      <c r="L6" s="12"/>
      <c r="M6" s="28">
        <f t="shared" si="1"/>
        <v>0</v>
      </c>
      <c r="N6" s="29"/>
      <c r="O6" s="30"/>
      <c r="P6" s="23"/>
      <c r="Q6" s="23"/>
      <c r="R6" s="23"/>
    </row>
    <row r="7" spans="1:22" ht="20" customHeight="1" x14ac:dyDescent="0.3">
      <c r="A7" s="6"/>
      <c r="B7" s="33" t="s">
        <v>13</v>
      </c>
      <c r="C7" s="34"/>
      <c r="D7" s="34"/>
      <c r="E7" s="34"/>
      <c r="F7" s="18"/>
      <c r="G7" s="19"/>
      <c r="H7" s="6"/>
      <c r="I7" s="11"/>
      <c r="J7" s="12"/>
      <c r="K7" s="22"/>
      <c r="L7" s="12"/>
      <c r="M7" s="39">
        <f>+SUM(M3:O6)</f>
        <v>0</v>
      </c>
      <c r="N7" s="40"/>
      <c r="O7" s="41"/>
      <c r="P7" s="42"/>
      <c r="Q7" s="42"/>
      <c r="R7" s="42"/>
    </row>
    <row r="8" spans="1:22" ht="16" customHeight="1" x14ac:dyDescent="0.3">
      <c r="A8" s="7">
        <v>2</v>
      </c>
      <c r="B8" s="31" t="s">
        <v>14</v>
      </c>
      <c r="C8" s="32"/>
      <c r="D8" s="32"/>
      <c r="E8" s="32"/>
      <c r="F8" s="18"/>
      <c r="G8" s="19"/>
      <c r="H8" s="4"/>
      <c r="I8" s="11"/>
      <c r="J8" s="12"/>
      <c r="K8" s="22"/>
      <c r="L8" s="12"/>
      <c r="M8" s="28"/>
      <c r="N8" s="29"/>
      <c r="O8" s="30"/>
      <c r="P8" s="48"/>
      <c r="Q8" s="48"/>
      <c r="R8" s="48"/>
    </row>
    <row r="9" spans="1:22" ht="15" customHeight="1" x14ac:dyDescent="0.3">
      <c r="A9" s="4" t="s">
        <v>8</v>
      </c>
      <c r="B9" s="44" t="s">
        <v>15</v>
      </c>
      <c r="C9" s="38"/>
      <c r="D9" s="38"/>
      <c r="E9" s="38"/>
      <c r="F9" s="18"/>
      <c r="G9" s="19"/>
      <c r="H9" s="4"/>
      <c r="I9" s="11"/>
      <c r="J9" s="12"/>
      <c r="K9" s="22"/>
      <c r="L9" s="12"/>
      <c r="M9" s="28"/>
      <c r="N9" s="29"/>
      <c r="O9" s="30"/>
      <c r="P9" s="48"/>
      <c r="Q9" s="48"/>
      <c r="R9" s="48"/>
    </row>
    <row r="10" spans="1:22" ht="14.25" customHeight="1" x14ac:dyDescent="0.3">
      <c r="A10" s="5"/>
      <c r="B10" s="37" t="s">
        <v>25</v>
      </c>
      <c r="C10" s="38"/>
      <c r="D10" s="38"/>
      <c r="E10" s="38"/>
      <c r="F10" s="18"/>
      <c r="G10" s="19"/>
      <c r="H10" s="4" t="s">
        <v>9</v>
      </c>
      <c r="I10" s="11"/>
      <c r="J10" s="12"/>
      <c r="K10" s="22">
        <v>330</v>
      </c>
      <c r="L10" s="12"/>
      <c r="M10" s="28">
        <f t="shared" ref="M10" si="2">I10*K10</f>
        <v>0</v>
      </c>
      <c r="N10" s="29"/>
      <c r="O10" s="30"/>
      <c r="P10" s="48"/>
      <c r="Q10" s="48"/>
      <c r="R10" s="48"/>
    </row>
    <row r="11" spans="1:22" ht="14.25" customHeight="1" x14ac:dyDescent="0.3">
      <c r="A11" s="5"/>
      <c r="B11" s="44"/>
      <c r="C11" s="38"/>
      <c r="D11" s="38"/>
      <c r="E11" s="38"/>
      <c r="F11" s="18"/>
      <c r="G11" s="19"/>
      <c r="H11" s="4"/>
      <c r="I11" s="11"/>
      <c r="J11" s="12"/>
      <c r="K11" s="22"/>
      <c r="L11" s="12"/>
      <c r="M11" s="28">
        <f t="shared" ref="M11:M21" si="3">I11*K11</f>
        <v>0</v>
      </c>
      <c r="N11" s="29"/>
      <c r="O11" s="30"/>
      <c r="P11" s="48"/>
      <c r="Q11" s="48"/>
      <c r="R11" s="48"/>
    </row>
    <row r="12" spans="1:22" ht="14.25" customHeight="1" x14ac:dyDescent="0.3">
      <c r="A12" s="4" t="s">
        <v>10</v>
      </c>
      <c r="B12" s="37" t="s">
        <v>26</v>
      </c>
      <c r="C12" s="38"/>
      <c r="D12" s="38"/>
      <c r="E12" s="38"/>
      <c r="F12" s="18"/>
      <c r="G12" s="19"/>
      <c r="H12" s="4" t="s">
        <v>7</v>
      </c>
      <c r="I12" s="11"/>
      <c r="J12" s="12"/>
      <c r="K12" s="22">
        <v>2</v>
      </c>
      <c r="L12" s="12"/>
      <c r="M12" s="28">
        <f t="shared" si="3"/>
        <v>0</v>
      </c>
      <c r="N12" s="29"/>
      <c r="O12" s="30"/>
      <c r="P12" s="48"/>
      <c r="Q12" s="48"/>
      <c r="R12" s="48"/>
    </row>
    <row r="13" spans="1:22" ht="14.25" customHeight="1" x14ac:dyDescent="0.3">
      <c r="A13" s="6"/>
      <c r="B13" s="33" t="s">
        <v>16</v>
      </c>
      <c r="C13" s="34"/>
      <c r="D13" s="34"/>
      <c r="E13" s="34"/>
      <c r="F13" s="18"/>
      <c r="G13" s="19"/>
      <c r="H13" s="4"/>
      <c r="I13" s="11"/>
      <c r="J13" s="12"/>
      <c r="K13" s="22"/>
      <c r="L13" s="12"/>
      <c r="M13" s="39">
        <f>SUM(M10:O12)</f>
        <v>0</v>
      </c>
      <c r="N13" s="40"/>
      <c r="O13" s="41"/>
      <c r="P13" s="42"/>
      <c r="Q13" s="42"/>
      <c r="R13" s="42"/>
    </row>
    <row r="14" spans="1:22" ht="14.25" customHeight="1" x14ac:dyDescent="0.3">
      <c r="A14" s="7">
        <v>3</v>
      </c>
      <c r="B14" s="31" t="s">
        <v>33</v>
      </c>
      <c r="C14" s="32"/>
      <c r="D14" s="32"/>
      <c r="E14" s="32"/>
      <c r="F14" s="18"/>
      <c r="G14" s="19"/>
      <c r="H14" s="4"/>
      <c r="I14" s="11"/>
      <c r="J14" s="12"/>
      <c r="K14" s="22"/>
      <c r="L14" s="12"/>
      <c r="M14" s="28">
        <f t="shared" si="3"/>
        <v>0</v>
      </c>
      <c r="N14" s="29"/>
      <c r="O14" s="30"/>
      <c r="P14" s="48"/>
      <c r="Q14" s="48"/>
      <c r="R14" s="48"/>
    </row>
    <row r="15" spans="1:22" ht="15" customHeight="1" x14ac:dyDescent="0.3">
      <c r="A15" s="26" t="s">
        <v>34</v>
      </c>
      <c r="B15" s="37" t="s">
        <v>27</v>
      </c>
      <c r="C15" s="38"/>
      <c r="D15" s="38"/>
      <c r="E15" s="38"/>
      <c r="F15" s="18"/>
      <c r="G15" s="19"/>
      <c r="H15" s="4" t="s">
        <v>20</v>
      </c>
      <c r="I15" s="11"/>
      <c r="J15" s="12"/>
      <c r="K15" s="22">
        <v>13</v>
      </c>
      <c r="L15" s="12"/>
      <c r="M15" s="28">
        <f t="shared" si="3"/>
        <v>0</v>
      </c>
      <c r="N15" s="29"/>
      <c r="O15" s="30"/>
      <c r="P15" s="15"/>
      <c r="Q15" s="15"/>
      <c r="R15" s="15"/>
      <c r="T15" s="28"/>
      <c r="U15" s="29"/>
      <c r="V15" s="30"/>
    </row>
    <row r="16" spans="1:22" ht="25.5" customHeight="1" x14ac:dyDescent="0.3">
      <c r="A16" s="26" t="s">
        <v>35</v>
      </c>
      <c r="B16" s="37" t="s">
        <v>42</v>
      </c>
      <c r="C16" s="38"/>
      <c r="D16" s="38"/>
      <c r="E16" s="38"/>
      <c r="F16" s="18"/>
      <c r="G16" s="19"/>
      <c r="H16" s="4" t="s">
        <v>24</v>
      </c>
      <c r="I16" s="11"/>
      <c r="J16" s="12"/>
      <c r="K16" s="27">
        <v>1</v>
      </c>
      <c r="L16" s="12"/>
      <c r="M16" s="28">
        <f t="shared" si="3"/>
        <v>0</v>
      </c>
      <c r="N16" s="29"/>
      <c r="O16" s="30"/>
      <c r="P16" s="15"/>
      <c r="Q16" s="15"/>
      <c r="R16" s="15"/>
    </row>
    <row r="17" spans="1:18" ht="15" customHeight="1" x14ac:dyDescent="0.3">
      <c r="A17" s="26"/>
      <c r="B17" s="37"/>
      <c r="C17" s="38"/>
      <c r="D17" s="38"/>
      <c r="E17" s="38"/>
      <c r="F17" s="18"/>
      <c r="G17" s="19"/>
      <c r="H17" s="4"/>
      <c r="I17" s="11"/>
      <c r="J17" s="12"/>
      <c r="K17" s="22"/>
      <c r="L17" s="12"/>
      <c r="M17" s="28"/>
      <c r="N17" s="29"/>
      <c r="O17" s="30"/>
      <c r="P17" s="15"/>
      <c r="Q17" s="15"/>
      <c r="R17" s="15"/>
    </row>
    <row r="18" spans="1:18" ht="15" customHeight="1" x14ac:dyDescent="0.3">
      <c r="A18" s="6"/>
      <c r="B18" s="33" t="s">
        <v>28</v>
      </c>
      <c r="C18" s="34"/>
      <c r="D18" s="34"/>
      <c r="E18" s="34"/>
      <c r="F18" s="18"/>
      <c r="G18" s="19"/>
      <c r="H18" s="4"/>
      <c r="I18" s="11"/>
      <c r="J18" s="12"/>
      <c r="K18" s="22"/>
      <c r="L18" s="12"/>
      <c r="M18" s="39">
        <f>SUM(M15:O17)</f>
        <v>0</v>
      </c>
      <c r="N18" s="40"/>
      <c r="O18" s="41"/>
      <c r="P18" s="42"/>
      <c r="Q18" s="42"/>
      <c r="R18" s="42"/>
    </row>
    <row r="19" spans="1:18" ht="15" customHeight="1" x14ac:dyDescent="0.3">
      <c r="A19" s="7">
        <v>4</v>
      </c>
      <c r="B19" s="31" t="s">
        <v>32</v>
      </c>
      <c r="C19" s="32"/>
      <c r="D19" s="32"/>
      <c r="E19" s="32"/>
      <c r="F19" s="18"/>
      <c r="G19" s="19"/>
      <c r="H19" s="4"/>
      <c r="I19" s="11"/>
      <c r="J19" s="12"/>
      <c r="K19" s="22"/>
      <c r="L19" s="12"/>
      <c r="M19" s="28">
        <f t="shared" si="3"/>
        <v>0</v>
      </c>
      <c r="N19" s="29"/>
      <c r="O19" s="30"/>
      <c r="P19" s="15"/>
      <c r="Q19" s="15"/>
      <c r="R19" s="15"/>
    </row>
    <row r="20" spans="1:18" ht="15" customHeight="1" x14ac:dyDescent="0.3">
      <c r="A20" s="25" t="s">
        <v>36</v>
      </c>
      <c r="B20" s="37" t="s">
        <v>29</v>
      </c>
      <c r="C20" s="43"/>
      <c r="D20" s="43"/>
      <c r="E20" s="24"/>
      <c r="F20" s="18"/>
      <c r="G20" s="19"/>
      <c r="H20" s="4" t="s">
        <v>30</v>
      </c>
      <c r="I20" s="11"/>
      <c r="J20" s="12"/>
      <c r="K20" s="22">
        <v>8</v>
      </c>
      <c r="L20" s="12"/>
      <c r="M20" s="28">
        <f t="shared" si="3"/>
        <v>0</v>
      </c>
      <c r="N20" s="29"/>
      <c r="O20" s="30"/>
      <c r="P20" s="15"/>
      <c r="Q20" s="15"/>
      <c r="R20" s="15"/>
    </row>
    <row r="21" spans="1:18" ht="15" customHeight="1" x14ac:dyDescent="0.3">
      <c r="A21" s="25" t="s">
        <v>37</v>
      </c>
      <c r="B21" s="37" t="s">
        <v>31</v>
      </c>
      <c r="C21" s="43"/>
      <c r="D21" s="43"/>
      <c r="E21" s="24"/>
      <c r="F21" s="18"/>
      <c r="G21" s="19"/>
      <c r="H21" s="4" t="s">
        <v>30</v>
      </c>
      <c r="I21" s="11"/>
      <c r="J21" s="12"/>
      <c r="K21" s="22">
        <v>2</v>
      </c>
      <c r="L21" s="12"/>
      <c r="M21" s="28">
        <f t="shared" si="3"/>
        <v>0</v>
      </c>
      <c r="N21" s="29"/>
      <c r="O21" s="30"/>
      <c r="P21" s="15"/>
      <c r="Q21" s="15"/>
      <c r="R21" s="15"/>
    </row>
    <row r="22" spans="1:18" ht="15" customHeight="1" x14ac:dyDescent="0.3">
      <c r="A22" s="25" t="s">
        <v>40</v>
      </c>
      <c r="B22" s="37" t="s">
        <v>41</v>
      </c>
      <c r="C22" s="43"/>
      <c r="D22" s="43"/>
      <c r="E22" s="24"/>
      <c r="F22" s="18"/>
      <c r="G22" s="19"/>
      <c r="H22" s="4" t="s">
        <v>30</v>
      </c>
      <c r="I22" s="11"/>
      <c r="J22" s="12"/>
      <c r="K22" s="22">
        <v>3</v>
      </c>
      <c r="L22" s="12"/>
      <c r="M22" s="28">
        <f t="shared" ref="M22:M23" si="4">I22*K22</f>
        <v>0</v>
      </c>
      <c r="N22" s="29"/>
      <c r="O22" s="30"/>
      <c r="P22" s="15"/>
      <c r="Q22" s="15"/>
      <c r="R22" s="15"/>
    </row>
    <row r="23" spans="1:18" ht="15.5" customHeight="1" x14ac:dyDescent="0.3">
      <c r="A23" s="25" t="s">
        <v>43</v>
      </c>
      <c r="B23" s="37" t="s">
        <v>44</v>
      </c>
      <c r="C23" s="43"/>
      <c r="D23" s="43"/>
      <c r="E23" s="24"/>
      <c r="F23" s="18"/>
      <c r="G23" s="19"/>
      <c r="H23" s="4" t="s">
        <v>30</v>
      </c>
      <c r="I23" s="11"/>
      <c r="J23" s="12"/>
      <c r="K23" s="22">
        <v>4</v>
      </c>
      <c r="L23" s="12"/>
      <c r="M23" s="28">
        <f t="shared" si="4"/>
        <v>0</v>
      </c>
      <c r="N23" s="29"/>
      <c r="O23" s="30"/>
      <c r="P23" s="15"/>
      <c r="Q23" s="15"/>
      <c r="R23" s="15"/>
    </row>
    <row r="24" spans="1:18" ht="24" customHeight="1" x14ac:dyDescent="0.3">
      <c r="A24" s="6"/>
      <c r="B24" s="33" t="s">
        <v>38</v>
      </c>
      <c r="C24" s="34"/>
      <c r="D24" s="34"/>
      <c r="E24" s="34"/>
      <c r="F24" s="18"/>
      <c r="G24" s="19"/>
      <c r="H24" s="4"/>
      <c r="I24" s="11"/>
      <c r="J24" s="12"/>
      <c r="K24" s="22"/>
      <c r="L24" s="12"/>
      <c r="M24" s="39">
        <f>SUM(M20:O23)</f>
        <v>0</v>
      </c>
      <c r="N24" s="40">
        <f>SUM(M9:O17)</f>
        <v>0</v>
      </c>
      <c r="O24" s="41"/>
      <c r="P24" s="42"/>
      <c r="Q24" s="42"/>
      <c r="R24" s="42"/>
    </row>
    <row r="25" spans="1:18" ht="25" customHeight="1" x14ac:dyDescent="0.3">
      <c r="A25" s="6"/>
      <c r="B25" s="31" t="s">
        <v>17</v>
      </c>
      <c r="C25" s="32"/>
      <c r="D25" s="32"/>
      <c r="E25" s="32"/>
      <c r="F25" s="18"/>
      <c r="G25" s="19"/>
      <c r="H25" s="6"/>
      <c r="I25" s="11"/>
      <c r="J25" s="12"/>
      <c r="K25" s="22"/>
      <c r="L25" s="12"/>
      <c r="M25" s="64">
        <f>M24+M18+M13+M7</f>
        <v>0</v>
      </c>
      <c r="N25" s="65"/>
      <c r="O25" s="66"/>
      <c r="P25" s="42"/>
      <c r="Q25" s="42"/>
      <c r="R25" s="42"/>
    </row>
    <row r="26" spans="1:18" ht="19" customHeight="1" x14ac:dyDescent="0.3">
      <c r="A26" s="6"/>
      <c r="B26" s="31" t="s">
        <v>18</v>
      </c>
      <c r="C26" s="32"/>
      <c r="D26" s="32"/>
      <c r="E26" s="32"/>
      <c r="F26" s="18"/>
      <c r="G26" s="19"/>
      <c r="H26" s="6"/>
      <c r="I26" s="11"/>
      <c r="J26" s="12"/>
      <c r="K26" s="22"/>
      <c r="L26" s="12"/>
      <c r="M26" s="28">
        <f>M25*0.2</f>
        <v>0</v>
      </c>
      <c r="N26" s="29"/>
      <c r="O26" s="30"/>
      <c r="P26" s="42"/>
      <c r="Q26" s="42"/>
      <c r="R26" s="42"/>
    </row>
    <row r="27" spans="1:18" ht="17.5" customHeight="1" x14ac:dyDescent="0.3">
      <c r="A27" s="8"/>
      <c r="B27" s="35" t="s">
        <v>19</v>
      </c>
      <c r="C27" s="36"/>
      <c r="D27" s="36"/>
      <c r="E27" s="36"/>
      <c r="F27" s="20"/>
      <c r="G27" s="21"/>
      <c r="H27" s="8"/>
      <c r="I27" s="13"/>
      <c r="J27" s="14"/>
      <c r="K27" s="13"/>
      <c r="L27" s="14"/>
      <c r="M27" s="58">
        <f>M25+M26</f>
        <v>0</v>
      </c>
      <c r="N27" s="59"/>
      <c r="O27" s="60"/>
      <c r="P27" s="42"/>
      <c r="Q27" s="42"/>
      <c r="R27" s="42"/>
    </row>
    <row r="28" spans="1:18" ht="409" customHeight="1" x14ac:dyDescent="0.3">
      <c r="A28" s="48">
        <v>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</sheetData>
  <mergeCells count="75">
    <mergeCell ref="B22:D22"/>
    <mergeCell ref="B23:D23"/>
    <mergeCell ref="M22:O22"/>
    <mergeCell ref="M23:O23"/>
    <mergeCell ref="A28:R28"/>
    <mergeCell ref="M24:O24"/>
    <mergeCell ref="P24:R24"/>
    <mergeCell ref="M25:O25"/>
    <mergeCell ref="P25:R25"/>
    <mergeCell ref="M26:O26"/>
    <mergeCell ref="P26:R26"/>
    <mergeCell ref="B7:E7"/>
    <mergeCell ref="B8:E8"/>
    <mergeCell ref="P9:R9"/>
    <mergeCell ref="B2:E2"/>
    <mergeCell ref="M27:O27"/>
    <mergeCell ref="P27:R27"/>
    <mergeCell ref="P10:R10"/>
    <mergeCell ref="M11:O11"/>
    <mergeCell ref="P11:R11"/>
    <mergeCell ref="M12:O12"/>
    <mergeCell ref="P12:R12"/>
    <mergeCell ref="M2:O2"/>
    <mergeCell ref="P2:R2"/>
    <mergeCell ref="M3:O3"/>
    <mergeCell ref="P3:R3"/>
    <mergeCell ref="M4:O4"/>
    <mergeCell ref="B6:E6"/>
    <mergeCell ref="B1:G1"/>
    <mergeCell ref="I1:J1"/>
    <mergeCell ref="K1:L1"/>
    <mergeCell ref="B5:E5"/>
    <mergeCell ref="B3:E3"/>
    <mergeCell ref="B4:E4"/>
    <mergeCell ref="M1:O1"/>
    <mergeCell ref="P1:R1"/>
    <mergeCell ref="M5:O5"/>
    <mergeCell ref="M15:O15"/>
    <mergeCell ref="M16:O16"/>
    <mergeCell ref="P14:R14"/>
    <mergeCell ref="P13:R13"/>
    <mergeCell ref="M6:O6"/>
    <mergeCell ref="M7:O7"/>
    <mergeCell ref="P7:R7"/>
    <mergeCell ref="M8:O8"/>
    <mergeCell ref="P8:R8"/>
    <mergeCell ref="P4:R4"/>
    <mergeCell ref="M17:O17"/>
    <mergeCell ref="M10:O10"/>
    <mergeCell ref="M9:O9"/>
    <mergeCell ref="B10:E10"/>
    <mergeCell ref="B11:E11"/>
    <mergeCell ref="B12:E12"/>
    <mergeCell ref="B15:E15"/>
    <mergeCell ref="B14:E14"/>
    <mergeCell ref="M14:O14"/>
    <mergeCell ref="B13:E13"/>
    <mergeCell ref="M13:O13"/>
    <mergeCell ref="B9:E9"/>
    <mergeCell ref="T15:V15"/>
    <mergeCell ref="B26:E26"/>
    <mergeCell ref="B24:E24"/>
    <mergeCell ref="B25:E25"/>
    <mergeCell ref="B27:E27"/>
    <mergeCell ref="B16:E16"/>
    <mergeCell ref="B17:E17"/>
    <mergeCell ref="B19:E19"/>
    <mergeCell ref="M19:O19"/>
    <mergeCell ref="B18:E18"/>
    <mergeCell ref="M18:O18"/>
    <mergeCell ref="P18:R18"/>
    <mergeCell ref="B20:D20"/>
    <mergeCell ref="B21:D21"/>
    <mergeCell ref="M20:O20"/>
    <mergeCell ref="M21:O21"/>
  </mergeCells>
  <phoneticPr fontId="12" type="noConversion"/>
  <pageMargins left="0.7" right="0.7" top="0.75" bottom="0.75" header="0.3" footer="0.3"/>
  <pageSetup paperSize="9" scale="7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LOT 1D</vt:lpstr>
      <vt:lpstr>'LOT 1D'!Zone_d_impression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Sierri</dc:creator>
  <cp:lastModifiedBy>gregory TISSIER</cp:lastModifiedBy>
  <cp:lastPrinted>2022-06-27T15:23:15Z</cp:lastPrinted>
  <dcterms:created xsi:type="dcterms:W3CDTF">2022-06-23T18:12:53Z</dcterms:created>
  <dcterms:modified xsi:type="dcterms:W3CDTF">2026-06-29T15:12:09Z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2021-07-26T00:00:00Z</vt:filetime>
  </property>
  <property fmtid="{D5CDD505-2E9C-101B-9397-08002B2CF9AE}" pid="3" name="Creator">
    <vt:lpwstr>PDFsam Enhanced 7</vt:lpwstr>
  </property>
  <property fmtid="{D5CDD505-2E9C-101B-9397-08002B2CF9AE}" pid="4" name="LastSaved">
    <vt:filetime>2022-06-23T00:00:00Z</vt:filetime>
  </property>
  <property fmtid="{D5CDD505-2E9C-101B-9397-08002B2CF9AE}" pid="5" name="Producer">
    <vt:lpwstr>PDFsam Enhanced 7</vt:lpwstr>
  </property>
</Properties>
</file>