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310725\DORNE\AUREILLE\DCE\DPGF\"/>
    </mc:Choice>
  </mc:AlternateContent>
  <xr:revisionPtr revIDLastSave="0" documentId="13_ncr:1_{69D4A7FB-2F43-420A-BC92-6515FCFBF3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PFF LOT 1A" sheetId="1" r:id="rId1"/>
  </sheets>
  <definedNames>
    <definedName name="_xlnm.Print_Area" localSheetId="0">'DPFF LOT 1A'!$A$1:$N$57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9" i="1" l="1"/>
  <c r="I27" i="1"/>
  <c r="I28" i="1"/>
  <c r="H23" i="1"/>
  <c r="I52" i="1"/>
  <c r="I42" i="1"/>
  <c r="H40" i="1" l="1"/>
  <c r="H14" i="1"/>
  <c r="H25" i="1" s="1"/>
  <c r="H13" i="1"/>
  <c r="I15" i="1"/>
  <c r="I9" i="1"/>
  <c r="I46" i="1"/>
  <c r="I44" i="1"/>
  <c r="H16" i="1"/>
  <c r="H21" i="1" l="1"/>
  <c r="I21" i="1" s="1"/>
  <c r="H18" i="1"/>
  <c r="H20" i="1" s="1"/>
  <c r="I20" i="1" s="1"/>
  <c r="H37" i="1"/>
  <c r="H38" i="1"/>
  <c r="I38" i="1" s="1"/>
  <c r="I25" i="1"/>
  <c r="I53" i="1"/>
  <c r="I5" i="1"/>
  <c r="I6" i="1"/>
  <c r="I7" i="1"/>
  <c r="I8" i="1"/>
  <c r="I10" i="1"/>
  <c r="I11" i="1"/>
  <c r="I12" i="1"/>
  <c r="I13" i="1"/>
  <c r="I14" i="1"/>
  <c r="I16" i="1"/>
  <c r="I17" i="1"/>
  <c r="I19" i="1"/>
  <c r="I23" i="1"/>
  <c r="I24" i="1"/>
  <c r="I26" i="1"/>
  <c r="I32" i="1"/>
  <c r="I33" i="1"/>
  <c r="I34" i="1"/>
  <c r="I35" i="1"/>
  <c r="I36" i="1"/>
  <c r="I39" i="1"/>
  <c r="I40" i="1"/>
  <c r="I41" i="1"/>
  <c r="I43" i="1"/>
  <c r="I45" i="1"/>
  <c r="I47" i="1"/>
  <c r="I48" i="1"/>
  <c r="I49" i="1"/>
  <c r="I50" i="1"/>
  <c r="I51" i="1"/>
  <c r="I4" i="1"/>
  <c r="I18" i="1" l="1"/>
  <c r="I30" i="1" s="1"/>
  <c r="I37" i="1"/>
  <c r="I54" i="1" s="1"/>
  <c r="I55" i="1" l="1"/>
  <c r="I56" i="1"/>
  <c r="I57" i="1" s="1"/>
</calcChain>
</file>

<file path=xl/sharedStrings.xml><?xml version="1.0" encoding="utf-8"?>
<sst xmlns="http://schemas.openxmlformats.org/spreadsheetml/2006/main" count="139" uniqueCount="107">
  <si>
    <r>
      <rPr>
        <b/>
        <sz val="9.5"/>
        <rFont val="Candara"/>
        <family val="2"/>
      </rPr>
      <t>N°</t>
    </r>
  </si>
  <si>
    <r>
      <rPr>
        <b/>
        <sz val="9.5"/>
        <rFont val="Candara"/>
        <family val="2"/>
      </rPr>
      <t>LOT</t>
    </r>
    <r>
      <rPr>
        <sz val="9.5"/>
        <rFont val="Times New Roman"/>
        <family val="1"/>
      </rPr>
      <t xml:space="preserve"> </t>
    </r>
    <r>
      <rPr>
        <b/>
        <sz val="9.5"/>
        <rFont val="Candara"/>
        <family val="2"/>
      </rPr>
      <t>01A</t>
    </r>
    <r>
      <rPr>
        <sz val="9.5"/>
        <rFont val="Times New Roman"/>
        <family val="1"/>
      </rPr>
      <t xml:space="preserve"> </t>
    </r>
    <r>
      <rPr>
        <b/>
        <sz val="9.5"/>
        <rFont val="Candara"/>
        <family val="2"/>
      </rPr>
      <t>-</t>
    </r>
    <r>
      <rPr>
        <sz val="9.5"/>
        <rFont val="Times New Roman"/>
        <family val="1"/>
      </rPr>
      <t xml:space="preserve"> </t>
    </r>
    <r>
      <rPr>
        <b/>
        <sz val="9.5"/>
        <rFont val="Candara"/>
        <family val="2"/>
      </rPr>
      <t>Terrassements</t>
    </r>
    <r>
      <rPr>
        <sz val="9.5"/>
        <rFont val="Times New Roman"/>
        <family val="1"/>
      </rPr>
      <t xml:space="preserve"> </t>
    </r>
    <r>
      <rPr>
        <b/>
        <sz val="9.5"/>
        <rFont val="Candara"/>
        <family val="2"/>
      </rPr>
      <t>-</t>
    </r>
    <r>
      <rPr>
        <sz val="9.5"/>
        <rFont val="Times New Roman"/>
        <family val="1"/>
      </rPr>
      <t xml:space="preserve"> </t>
    </r>
    <r>
      <rPr>
        <b/>
        <sz val="9.5"/>
        <rFont val="Candara"/>
        <family val="2"/>
      </rPr>
      <t>Voirie</t>
    </r>
  </si>
  <si>
    <r>
      <rPr>
        <b/>
        <sz val="9.5"/>
        <rFont val="Candara"/>
        <family val="2"/>
      </rPr>
      <t>U</t>
    </r>
  </si>
  <si>
    <r>
      <rPr>
        <b/>
        <sz val="9.5"/>
        <rFont val="Candara"/>
        <family val="2"/>
      </rPr>
      <t>PU</t>
    </r>
  </si>
  <si>
    <r>
      <rPr>
        <b/>
        <sz val="7.5"/>
        <rFont val="Candara"/>
        <family val="2"/>
      </rPr>
      <t>Quantités</t>
    </r>
  </si>
  <si>
    <r>
      <rPr>
        <b/>
        <sz val="9.5"/>
        <rFont val="Candara"/>
        <family val="2"/>
      </rPr>
      <t>Montant</t>
    </r>
    <r>
      <rPr>
        <sz val="9.5"/>
        <rFont val="Times New Roman"/>
        <family val="1"/>
      </rPr>
      <t xml:space="preserve"> </t>
    </r>
    <r>
      <rPr>
        <b/>
        <sz val="9.5"/>
        <rFont val="Candara"/>
        <family val="2"/>
      </rPr>
      <t>H.T.</t>
    </r>
  </si>
  <si>
    <r>
      <rPr>
        <sz val="9.5"/>
        <rFont val="Candara"/>
        <family val="2"/>
      </rPr>
      <t>01.1</t>
    </r>
  </si>
  <si>
    <r>
      <rPr>
        <sz val="9.5"/>
        <rFont val="Candara"/>
        <family val="2"/>
      </rPr>
      <t>f</t>
    </r>
  </si>
  <si>
    <r>
      <rPr>
        <sz val="9.5"/>
        <rFont val="Candara"/>
        <family val="2"/>
      </rPr>
      <t>01.2</t>
    </r>
  </si>
  <si>
    <r>
      <rPr>
        <sz val="9.5"/>
        <rFont val="Candara"/>
        <family val="2"/>
      </rPr>
      <t>01.3</t>
    </r>
  </si>
  <si>
    <r>
      <rPr>
        <sz val="9.5"/>
        <rFont val="Candara"/>
        <family val="2"/>
      </rPr>
      <t>01.4</t>
    </r>
  </si>
  <si>
    <r>
      <rPr>
        <sz val="9.5"/>
        <rFont val="Candara"/>
        <family val="2"/>
      </rPr>
      <t>01.5</t>
    </r>
  </si>
  <si>
    <r>
      <rPr>
        <sz val="9.5"/>
        <rFont val="Candara"/>
        <family val="2"/>
      </rPr>
      <t>m2</t>
    </r>
  </si>
  <si>
    <r>
      <rPr>
        <sz val="9.5"/>
        <rFont val="Candara"/>
        <family val="2"/>
      </rPr>
      <t>m3</t>
    </r>
  </si>
  <si>
    <r>
      <rPr>
        <sz val="9.5"/>
        <rFont val="Candara"/>
        <family val="2"/>
      </rPr>
      <t>01.12</t>
    </r>
  </si>
  <si>
    <r>
      <rPr>
        <sz val="9.5"/>
        <rFont val="Candara"/>
        <family val="2"/>
      </rPr>
      <t>01.13</t>
    </r>
  </si>
  <si>
    <r>
      <rPr>
        <sz val="9.5"/>
        <rFont val="Candara"/>
        <family val="2"/>
      </rPr>
      <t>01.14</t>
    </r>
  </si>
  <si>
    <r>
      <rPr>
        <sz val="9.5"/>
        <rFont val="Candara"/>
        <family val="2"/>
      </rPr>
      <t>01.15</t>
    </r>
  </si>
  <si>
    <r>
      <rPr>
        <sz val="9.5"/>
        <rFont val="Candara"/>
        <family val="2"/>
      </rPr>
      <t>01.16</t>
    </r>
  </si>
  <si>
    <r>
      <rPr>
        <sz val="9.5"/>
        <rFont val="Candara"/>
        <family val="2"/>
      </rPr>
      <t>01.17</t>
    </r>
  </si>
  <si>
    <r>
      <rPr>
        <sz val="9.5"/>
        <rFont val="Candara"/>
        <family val="2"/>
      </rPr>
      <t>01.18</t>
    </r>
  </si>
  <si>
    <r>
      <rPr>
        <sz val="9.5"/>
        <rFont val="Candara"/>
        <family val="2"/>
      </rPr>
      <t>02.1</t>
    </r>
  </si>
  <si>
    <r>
      <rPr>
        <sz val="9.5"/>
        <rFont val="Candara"/>
        <family val="2"/>
      </rPr>
      <t>ml</t>
    </r>
  </si>
  <si>
    <r>
      <rPr>
        <sz val="9.5"/>
        <rFont val="Candara"/>
        <family val="2"/>
      </rPr>
      <t>02.2</t>
    </r>
  </si>
  <si>
    <r>
      <rPr>
        <sz val="9.5"/>
        <rFont val="Candara"/>
        <family val="2"/>
      </rPr>
      <t>02.3</t>
    </r>
  </si>
  <si>
    <r>
      <rPr>
        <sz val="9.5"/>
        <rFont val="Candara"/>
        <family val="2"/>
      </rPr>
      <t>02.4</t>
    </r>
  </si>
  <si>
    <r>
      <rPr>
        <sz val="9.5"/>
        <rFont val="Candara"/>
        <family val="2"/>
      </rPr>
      <t>02.5</t>
    </r>
  </si>
  <si>
    <r>
      <rPr>
        <sz val="9.5"/>
        <rFont val="Candara"/>
        <family val="2"/>
      </rPr>
      <t>02.6</t>
    </r>
  </si>
  <si>
    <r>
      <rPr>
        <sz val="9.5"/>
        <rFont val="Candara"/>
        <family val="2"/>
      </rPr>
      <t>02.7</t>
    </r>
  </si>
  <si>
    <r>
      <rPr>
        <sz val="9.5"/>
        <rFont val="Candara"/>
        <family val="2"/>
      </rPr>
      <t>02.8</t>
    </r>
  </si>
  <si>
    <r>
      <rPr>
        <sz val="9.5"/>
        <rFont val="Candara"/>
        <family val="2"/>
      </rPr>
      <t>u</t>
    </r>
  </si>
  <si>
    <t>ml</t>
  </si>
  <si>
    <t>Terrassements généraux</t>
  </si>
  <si>
    <t>Installations de chantier</t>
  </si>
  <si>
    <t>Etude de synthèse / Exécution / DOE</t>
  </si>
  <si>
    <t>a) plateformes chaussées parkings et espaces revêtus</t>
  </si>
  <si>
    <t>Voile anticontaminant</t>
  </si>
  <si>
    <t>Total HT 01</t>
  </si>
  <si>
    <t>Voirie</t>
  </si>
  <si>
    <t>Découpe de revêtement</t>
  </si>
  <si>
    <t>Réglage et compactage de forme sur chaussée existante</t>
  </si>
  <si>
    <t>privatifs Bordures béton</t>
  </si>
  <si>
    <t>Peinture de marquage</t>
  </si>
  <si>
    <t>stop</t>
  </si>
  <si>
    <t>Frais divers</t>
  </si>
  <si>
    <t>Abattage d'arbres</t>
  </si>
  <si>
    <t>Réglage de plateforme</t>
  </si>
  <si>
    <t>Reprise pour mise en remblai</t>
  </si>
  <si>
    <t>Protection d'étanchéité de talus</t>
  </si>
  <si>
    <t xml:space="preserve">Evacuation aux décharges </t>
  </si>
  <si>
    <t>Essais et contrôles</t>
  </si>
  <si>
    <t>Dépose et évacuation de bordures</t>
  </si>
  <si>
    <t>Revêtement en béton bitumineux</t>
  </si>
  <si>
    <t xml:space="preserve">Couche de fondation en GNT 0/31.5 </t>
  </si>
  <si>
    <t xml:space="preserve">Couche de base GNT 0/20 </t>
  </si>
  <si>
    <t xml:space="preserve">pictogrammes normalisés PMR </t>
  </si>
  <si>
    <t xml:space="preserve">délimitation stationnement </t>
  </si>
  <si>
    <t>flèches directionnelles</t>
  </si>
  <si>
    <t>Fosses de plantation</t>
  </si>
  <si>
    <t xml:space="preserve">b) Déblai à évacuer </t>
  </si>
  <si>
    <t>Total HT 02</t>
  </si>
  <si>
    <t>Montant HT LOT N° 01A</t>
  </si>
  <si>
    <t>TVA 20 %</t>
  </si>
  <si>
    <t>Montant T.T.C. LOT N° 01A</t>
  </si>
  <si>
    <t xml:space="preserve">Panneaux de signalisation </t>
  </si>
  <si>
    <t>Décapage - Rabotage de revêtement</t>
  </si>
  <si>
    <t>b) plateformes des villas</t>
  </si>
  <si>
    <t>a) Type T2</t>
  </si>
  <si>
    <t>b) Type P2</t>
  </si>
  <si>
    <t>Remblais et couche de forme en GNT 0/60  voirie</t>
  </si>
  <si>
    <t xml:space="preserve"> Petites démolitions et évacuations deblais inpropre cuves divers</t>
  </si>
  <si>
    <t>Déblai Villas Voirie Trottoir EV</t>
  </si>
  <si>
    <t>Nettoyage du terrain - Débroussaillage-Décapage enrobés existant</t>
  </si>
  <si>
    <t>m²</t>
  </si>
  <si>
    <t>Préparation de forme apres passage lot GO</t>
  </si>
  <si>
    <t>02.10</t>
  </si>
  <si>
    <t>02.11</t>
  </si>
  <si>
    <t>02.12</t>
  </si>
  <si>
    <t>02.9</t>
  </si>
  <si>
    <t>!</t>
  </si>
  <si>
    <r>
      <rPr>
        <sz val="9.5"/>
        <rFont val="Candara"/>
        <family val="2"/>
      </rPr>
      <t>01.6</t>
    </r>
    <r>
      <rPr>
        <sz val="11"/>
        <color theme="1"/>
        <rFont val="Calibri"/>
        <family val="2"/>
        <scheme val="minor"/>
      </rPr>
      <t/>
    </r>
  </si>
  <si>
    <r>
      <rPr>
        <sz val="9.5"/>
        <rFont val="Candara"/>
        <family val="2"/>
      </rPr>
      <t>01.7</t>
    </r>
    <r>
      <rPr>
        <sz val="11"/>
        <color theme="1"/>
        <rFont val="Calibri"/>
        <family val="2"/>
        <scheme val="minor"/>
      </rPr>
      <t/>
    </r>
  </si>
  <si>
    <r>
      <rPr>
        <sz val="9.5"/>
        <rFont val="Candara"/>
        <family val="2"/>
      </rPr>
      <t>01.8</t>
    </r>
    <r>
      <rPr>
        <sz val="11"/>
        <color theme="1"/>
        <rFont val="Calibri"/>
        <family val="2"/>
        <scheme val="minor"/>
      </rPr>
      <t/>
    </r>
  </si>
  <si>
    <r>
      <rPr>
        <sz val="9.5"/>
        <rFont val="Candara"/>
        <family val="2"/>
      </rPr>
      <t>01.9</t>
    </r>
    <r>
      <rPr>
        <sz val="11"/>
        <color theme="1"/>
        <rFont val="Calibri"/>
        <family val="2"/>
        <scheme val="minor"/>
      </rPr>
      <t/>
    </r>
  </si>
  <si>
    <t>01.10</t>
  </si>
  <si>
    <t>01.11</t>
  </si>
  <si>
    <t>Transplantation d'Oliviers</t>
  </si>
  <si>
    <t>f</t>
  </si>
  <si>
    <t xml:space="preserve">c)Remblais sur plateforme </t>
  </si>
  <si>
    <t>a) Déblai mis en stock pour réemploi yc terre vegetale</t>
  </si>
  <si>
    <t>Travaux topographiques - Implantation - Piquetage - Traçage -analyse des terres</t>
  </si>
  <si>
    <t>m3</t>
  </si>
  <si>
    <t>remise en place vegetale sur jardins</t>
  </si>
  <si>
    <t>a) BBSG  0/10 épaisseur 5 cm sur voie desserte  + refection voirie existente sur travaux reseaux</t>
  </si>
  <si>
    <t>b) cheminement pompiers et cheminements acces villas en stabilisé renforcé</t>
  </si>
  <si>
    <t>Stationnement en nidagravel</t>
  </si>
  <si>
    <t>c) Type metallique ou bordures plastiques</t>
  </si>
  <si>
    <t>Résine délimitation piétons +6 pictogrammes velos pietons</t>
  </si>
  <si>
    <t>U</t>
  </si>
  <si>
    <t>SCCV GRANDE TERRE LOT 1A TERRASSEMENT VOIRIE estimatif</t>
  </si>
  <si>
    <r>
      <rPr>
        <sz val="9.5"/>
        <rFont val="Candara"/>
        <family val="2"/>
      </rPr>
      <t>01.19</t>
    </r>
    <r>
      <rPr>
        <sz val="11"/>
        <color theme="1"/>
        <rFont val="Calibri"/>
        <family val="2"/>
        <scheme val="minor"/>
      </rPr>
      <t/>
    </r>
  </si>
  <si>
    <r>
      <rPr>
        <sz val="9.5"/>
        <rFont val="Candara"/>
        <family val="2"/>
      </rPr>
      <t>01.20</t>
    </r>
    <r>
      <rPr>
        <sz val="11"/>
        <color theme="1"/>
        <rFont val="Calibri"/>
        <family val="2"/>
        <scheme val="minor"/>
      </rPr>
      <t/>
    </r>
  </si>
  <si>
    <t>murs de soutenement</t>
  </si>
  <si>
    <t>V01-19</t>
  </si>
  <si>
    <t>variante gabions</t>
  </si>
  <si>
    <t>un</t>
  </si>
  <si>
    <t>cours anglaises acces 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</si>
</sst>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00"/>
    <numFmt numFmtId="165" formatCode="#,##0.00\ &quot;€&quot;"/>
  </numFmts>
  <fonts count="18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b/>
      <sz val="9.5"/>
      <name val="Candara"/>
    </font>
    <font>
      <b/>
      <sz val="7.5"/>
      <name val="Candara"/>
    </font>
    <font>
      <b/>
      <sz val="9.5"/>
      <color rgb="FF000000"/>
      <name val="Candara"/>
      <family val="2"/>
    </font>
    <font>
      <sz val="9.5"/>
      <name val="Candara"/>
    </font>
    <font>
      <b/>
      <sz val="9.5"/>
      <name val="Candara"/>
      <family val="2"/>
    </font>
    <font>
      <sz val="9.5"/>
      <name val="Times New Roman"/>
      <family val="1"/>
    </font>
    <font>
      <b/>
      <sz val="7.5"/>
      <name val="Candara"/>
      <family val="2"/>
    </font>
    <font>
      <sz val="9.5"/>
      <name val="Candara"/>
      <family val="2"/>
    </font>
    <font>
      <sz val="10"/>
      <color rgb="FF000000"/>
      <name val="Times New Roman"/>
      <family val="1"/>
    </font>
    <font>
      <sz val="10"/>
      <color rgb="FF000000"/>
      <name val="Times New Roman"/>
      <charset val="204"/>
    </font>
    <font>
      <b/>
      <sz val="10"/>
      <color rgb="FF000000"/>
      <name val="Times New Roman"/>
      <family val="1"/>
    </font>
    <font>
      <sz val="9.5"/>
      <color rgb="FF000000"/>
      <name val="Times New Roman"/>
      <family val="1"/>
    </font>
    <font>
      <b/>
      <sz val="9.5"/>
      <color rgb="FF000000"/>
      <name val="Times New Roman"/>
      <family val="1"/>
    </font>
    <font>
      <b/>
      <u/>
      <sz val="10"/>
      <color rgb="FF000000"/>
      <name val="Times New Roman"/>
      <family val="1"/>
    </font>
    <font>
      <sz val="8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63"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wrapText="1"/>
    </xf>
    <xf numFmtId="0" fontId="2" fillId="0" borderId="1" xfId="0" applyFont="1" applyBorder="1" applyAlignment="1">
      <alignment horizontal="center" vertical="top" wrapText="1"/>
    </xf>
    <xf numFmtId="164" fontId="4" fillId="0" borderId="8" xfId="0" applyNumberFormat="1" applyFont="1" applyBorder="1" applyAlignment="1">
      <alignment horizontal="center" vertical="top" shrinkToFit="1"/>
    </xf>
    <xf numFmtId="0" fontId="5" fillId="0" borderId="11" xfId="0" applyFont="1" applyBorder="1" applyAlignment="1">
      <alignment horizontal="center" vertical="top" wrapText="1"/>
    </xf>
    <xf numFmtId="0" fontId="0" fillId="0" borderId="11" xfId="0" applyBorder="1" applyAlignment="1">
      <alignment horizontal="left" wrapText="1"/>
    </xf>
    <xf numFmtId="164" fontId="4" fillId="0" borderId="11" xfId="0" applyNumberFormat="1" applyFont="1" applyBorder="1" applyAlignment="1">
      <alignment horizontal="center" vertical="top" shrinkToFit="1"/>
    </xf>
    <xf numFmtId="0" fontId="0" fillId="0" borderId="11" xfId="0" applyBorder="1" applyAlignment="1">
      <alignment horizontal="left" vertical="center" wrapText="1"/>
    </xf>
    <xf numFmtId="0" fontId="0" fillId="0" borderId="9" xfId="0" applyBorder="1" applyAlignment="1">
      <alignment horizontal="left" vertical="top"/>
    </xf>
    <xf numFmtId="165" fontId="2" fillId="0" borderId="2" xfId="0" applyNumberFormat="1" applyFont="1" applyBorder="1" applyAlignment="1">
      <alignment horizontal="center" vertical="top" wrapText="1"/>
    </xf>
    <xf numFmtId="165" fontId="0" fillId="0" borderId="5" xfId="0" applyNumberFormat="1" applyBorder="1" applyAlignment="1">
      <alignment horizontal="left" vertical="top" wrapText="1"/>
    </xf>
    <xf numFmtId="165" fontId="0" fillId="0" borderId="9" xfId="0" applyNumberFormat="1" applyBorder="1" applyAlignment="1">
      <alignment horizontal="left" vertical="top" wrapText="1"/>
    </xf>
    <xf numFmtId="165" fontId="0" fillId="0" borderId="0" xfId="0" applyNumberFormat="1" applyAlignment="1">
      <alignment horizontal="left" vertical="top"/>
    </xf>
    <xf numFmtId="165" fontId="0" fillId="0" borderId="9" xfId="0" applyNumberFormat="1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0" fillId="0" borderId="0" xfId="0" applyAlignment="1">
      <alignment vertical="top" wrapText="1"/>
    </xf>
    <xf numFmtId="0" fontId="12" fillId="0" borderId="11" xfId="0" applyFont="1" applyBorder="1" applyAlignment="1">
      <alignment horizontal="left" vertical="center" wrapText="1"/>
    </xf>
    <xf numFmtId="0" fontId="12" fillId="0" borderId="0" xfId="0" applyFont="1" applyAlignment="1">
      <alignment vertical="top" wrapText="1"/>
    </xf>
    <xf numFmtId="165" fontId="12" fillId="0" borderId="9" xfId="0" applyNumberFormat="1" applyFont="1" applyBorder="1" applyAlignment="1">
      <alignment horizontal="left" vertical="top"/>
    </xf>
    <xf numFmtId="0" fontId="12" fillId="0" borderId="9" xfId="0" applyFont="1" applyBorder="1" applyAlignment="1">
      <alignment horizontal="left" vertical="top"/>
    </xf>
    <xf numFmtId="0" fontId="12" fillId="0" borderId="1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/>
    </xf>
    <xf numFmtId="0" fontId="12" fillId="0" borderId="13" xfId="0" applyFont="1" applyBorder="1" applyAlignment="1">
      <alignment vertical="top" wrapText="1"/>
    </xf>
    <xf numFmtId="165" fontId="12" fillId="0" borderId="12" xfId="0" applyNumberFormat="1" applyFont="1" applyBorder="1" applyAlignment="1">
      <alignment horizontal="left" vertical="top"/>
    </xf>
    <xf numFmtId="0" fontId="12" fillId="0" borderId="12" xfId="0" applyFont="1" applyBorder="1" applyAlignment="1">
      <alignment horizontal="left" vertical="top"/>
    </xf>
    <xf numFmtId="0" fontId="10" fillId="0" borderId="11" xfId="0" applyFont="1" applyBorder="1" applyAlignment="1">
      <alignment horizontal="center" wrapText="1"/>
    </xf>
    <xf numFmtId="0" fontId="9" fillId="0" borderId="11" xfId="0" applyFont="1" applyBorder="1" applyAlignment="1">
      <alignment horizontal="center" vertical="top" wrapText="1"/>
    </xf>
    <xf numFmtId="44" fontId="10" fillId="0" borderId="0" xfId="1" applyFont="1" applyFill="1" applyBorder="1" applyAlignment="1">
      <alignment horizontal="left" vertical="top"/>
    </xf>
    <xf numFmtId="44" fontId="0" fillId="0" borderId="0" xfId="1" applyFont="1" applyFill="1" applyBorder="1" applyAlignment="1">
      <alignment horizontal="left" vertical="top"/>
    </xf>
    <xf numFmtId="2" fontId="0" fillId="0" borderId="5" xfId="0" applyNumberFormat="1" applyBorder="1" applyAlignment="1">
      <alignment horizontal="left" vertical="top"/>
    </xf>
    <xf numFmtId="2" fontId="0" fillId="0" borderId="9" xfId="0" applyNumberFormat="1" applyBorder="1" applyAlignment="1">
      <alignment horizontal="left" vertical="top"/>
    </xf>
    <xf numFmtId="0" fontId="15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center" wrapText="1" indent="1"/>
    </xf>
    <xf numFmtId="2" fontId="17" fillId="0" borderId="9" xfId="0" applyNumberFormat="1" applyFont="1" applyBorder="1" applyAlignment="1">
      <alignment horizontal="left" vertical="top"/>
    </xf>
    <xf numFmtId="0" fontId="12" fillId="0" borderId="9" xfId="0" applyFont="1" applyBorder="1" applyAlignment="1">
      <alignment horizontal="right" vertical="top"/>
    </xf>
    <xf numFmtId="0" fontId="12" fillId="0" borderId="0" xfId="0" applyFont="1" applyAlignment="1">
      <alignment horizontal="right" vertical="top"/>
    </xf>
    <xf numFmtId="0" fontId="12" fillId="0" borderId="10" xfId="0" applyFont="1" applyBorder="1" applyAlignment="1">
      <alignment horizontal="right" vertical="top"/>
    </xf>
    <xf numFmtId="44" fontId="13" fillId="0" borderId="9" xfId="1" applyFont="1" applyFill="1" applyBorder="1" applyAlignment="1">
      <alignment horizontal="right" vertical="top" shrinkToFit="1"/>
    </xf>
    <xf numFmtId="44" fontId="13" fillId="0" borderId="0" xfId="1" applyFont="1" applyFill="1" applyBorder="1" applyAlignment="1">
      <alignment horizontal="right" vertical="top" shrinkToFit="1"/>
    </xf>
    <xf numFmtId="44" fontId="13" fillId="0" borderId="10" xfId="1" applyFont="1" applyFill="1" applyBorder="1" applyAlignment="1">
      <alignment horizontal="right" vertical="top" shrinkToFit="1"/>
    </xf>
    <xf numFmtId="44" fontId="14" fillId="0" borderId="12" xfId="1" applyFont="1" applyFill="1" applyBorder="1" applyAlignment="1">
      <alignment horizontal="right" vertical="top" shrinkToFit="1"/>
    </xf>
    <xf numFmtId="44" fontId="14" fillId="0" borderId="13" xfId="1" applyFont="1" applyFill="1" applyBorder="1" applyAlignment="1">
      <alignment horizontal="right" vertical="top" shrinkToFit="1"/>
    </xf>
    <xf numFmtId="44" fontId="14" fillId="0" borderId="14" xfId="1" applyFont="1" applyFill="1" applyBorder="1" applyAlignment="1">
      <alignment horizontal="right" vertical="top" shrinkToFit="1"/>
    </xf>
    <xf numFmtId="44" fontId="14" fillId="0" borderId="9" xfId="1" applyFont="1" applyFill="1" applyBorder="1" applyAlignment="1">
      <alignment horizontal="right" vertical="top" shrinkToFit="1"/>
    </xf>
    <xf numFmtId="44" fontId="14" fillId="0" borderId="0" xfId="1" applyFont="1" applyFill="1" applyBorder="1" applyAlignment="1">
      <alignment horizontal="right" vertical="top" shrinkToFit="1"/>
    </xf>
    <xf numFmtId="44" fontId="14" fillId="0" borderId="10" xfId="1" applyFont="1" applyFill="1" applyBorder="1" applyAlignment="1">
      <alignment horizontal="right" vertical="top" shrinkToFit="1"/>
    </xf>
    <xf numFmtId="44" fontId="14" fillId="0" borderId="9" xfId="1" applyFont="1" applyFill="1" applyBorder="1" applyAlignment="1">
      <alignment horizontal="right" vertical="center" shrinkToFit="1"/>
    </xf>
    <xf numFmtId="44" fontId="14" fillId="0" borderId="0" xfId="1" applyFont="1" applyFill="1" applyBorder="1" applyAlignment="1">
      <alignment horizontal="right" vertical="center" shrinkToFit="1"/>
    </xf>
    <xf numFmtId="44" fontId="14" fillId="0" borderId="10" xfId="1" applyFont="1" applyFill="1" applyBorder="1" applyAlignment="1">
      <alignment horizontal="right" vertical="center" shrinkToFit="1"/>
    </xf>
    <xf numFmtId="0" fontId="0" fillId="0" borderId="2" xfId="0" applyBorder="1" applyAlignment="1">
      <alignment horizontal="left" vertical="top" wrapText="1" indent="8"/>
    </xf>
    <xf numFmtId="0" fontId="0" fillId="0" borderId="3" xfId="0" applyBorder="1" applyAlignment="1">
      <alignment horizontal="left" vertical="top" wrapText="1" indent="8"/>
    </xf>
    <xf numFmtId="0" fontId="0" fillId="0" borderId="2" xfId="0" applyBorder="1" applyAlignment="1">
      <alignment horizontal="right" vertical="top" wrapText="1"/>
    </xf>
    <xf numFmtId="0" fontId="0" fillId="0" borderId="3" xfId="0" applyBorder="1" applyAlignment="1">
      <alignment horizontal="right" vertical="top" wrapText="1"/>
    </xf>
    <xf numFmtId="0" fontId="0" fillId="0" borderId="4" xfId="0" applyBorder="1" applyAlignment="1">
      <alignment horizontal="right" vertical="top" wrapText="1"/>
    </xf>
    <xf numFmtId="44" fontId="0" fillId="0" borderId="5" xfId="1" applyFont="1" applyFill="1" applyBorder="1" applyAlignment="1">
      <alignment horizontal="left" wrapText="1"/>
    </xf>
    <xf numFmtId="44" fontId="0" fillId="0" borderId="6" xfId="1" applyFont="1" applyFill="1" applyBorder="1" applyAlignment="1">
      <alignment horizontal="left" wrapText="1"/>
    </xf>
    <xf numFmtId="44" fontId="0" fillId="0" borderId="7" xfId="1" applyFont="1" applyFill="1" applyBorder="1" applyAlignment="1">
      <alignment horizontal="left" wrapText="1"/>
    </xf>
    <xf numFmtId="0" fontId="10" fillId="0" borderId="9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0" xfId="0" applyBorder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</cellXfs>
  <cellStyles count="2">
    <cellStyle name="Monétaire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482092</xdr:colOff>
      <xdr:row>1</xdr:row>
      <xdr:rowOff>0</xdr:rowOff>
    </xdr:from>
    <xdr:ext cx="6350" cy="14478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6350" cy="144780"/>
        </a:xfrm>
        <a:custGeom>
          <a:avLst/>
          <a:gdLst/>
          <a:ahLst/>
          <a:cxnLst/>
          <a:rect l="0" t="0" r="0" b="0"/>
          <a:pathLst>
            <a:path w="6350" h="144780">
              <a:moveTo>
                <a:pt x="6096" y="0"/>
              </a:moveTo>
              <a:lnTo>
                <a:pt x="0" y="0"/>
              </a:lnTo>
              <a:lnTo>
                <a:pt x="0" y="6096"/>
              </a:lnTo>
              <a:lnTo>
                <a:pt x="0" y="144780"/>
              </a:lnTo>
              <a:lnTo>
                <a:pt x="6096" y="144780"/>
              </a:lnTo>
              <a:lnTo>
                <a:pt x="6096" y="6096"/>
              </a:lnTo>
              <a:lnTo>
                <a:pt x="609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364744</xdr:colOff>
      <xdr:row>1</xdr:row>
      <xdr:rowOff>0</xdr:rowOff>
    </xdr:from>
    <xdr:ext cx="6350" cy="14478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6350" cy="144780"/>
        </a:xfrm>
        <a:custGeom>
          <a:avLst/>
          <a:gdLst/>
          <a:ahLst/>
          <a:cxnLst/>
          <a:rect l="0" t="0" r="0" b="0"/>
          <a:pathLst>
            <a:path w="6350" h="144780">
              <a:moveTo>
                <a:pt x="6096" y="0"/>
              </a:moveTo>
              <a:lnTo>
                <a:pt x="0" y="0"/>
              </a:lnTo>
              <a:lnTo>
                <a:pt x="0" y="6096"/>
              </a:lnTo>
              <a:lnTo>
                <a:pt x="0" y="144780"/>
              </a:lnTo>
              <a:lnTo>
                <a:pt x="6096" y="144780"/>
              </a:lnTo>
              <a:lnTo>
                <a:pt x="6096" y="6096"/>
              </a:lnTo>
              <a:lnTo>
                <a:pt x="6096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6</xdr:col>
      <xdr:colOff>482092</xdr:colOff>
      <xdr:row>1</xdr:row>
      <xdr:rowOff>0</xdr:rowOff>
    </xdr:from>
    <xdr:ext cx="6350" cy="14478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6350" cy="144780"/>
        </a:xfrm>
        <a:custGeom>
          <a:avLst/>
          <a:gdLst/>
          <a:ahLst/>
          <a:cxnLst/>
          <a:rect l="0" t="0" r="0" b="0"/>
          <a:pathLst>
            <a:path w="6350" h="144780">
              <a:moveTo>
                <a:pt x="6096" y="0"/>
              </a:moveTo>
              <a:lnTo>
                <a:pt x="0" y="0"/>
              </a:lnTo>
              <a:lnTo>
                <a:pt x="0" y="6096"/>
              </a:lnTo>
              <a:lnTo>
                <a:pt x="0" y="144780"/>
              </a:lnTo>
              <a:lnTo>
                <a:pt x="6096" y="144780"/>
              </a:lnTo>
              <a:lnTo>
                <a:pt x="6096" y="6096"/>
              </a:lnTo>
              <a:lnTo>
                <a:pt x="609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364744</xdr:colOff>
      <xdr:row>1</xdr:row>
      <xdr:rowOff>0</xdr:rowOff>
    </xdr:from>
    <xdr:ext cx="6350" cy="14478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6350" cy="144780"/>
        </a:xfrm>
        <a:custGeom>
          <a:avLst/>
          <a:gdLst/>
          <a:ahLst/>
          <a:cxnLst/>
          <a:rect l="0" t="0" r="0" b="0"/>
          <a:pathLst>
            <a:path w="6350" h="144780">
              <a:moveTo>
                <a:pt x="6096" y="0"/>
              </a:moveTo>
              <a:lnTo>
                <a:pt x="0" y="0"/>
              </a:lnTo>
              <a:lnTo>
                <a:pt x="0" y="6096"/>
              </a:lnTo>
              <a:lnTo>
                <a:pt x="0" y="144780"/>
              </a:lnTo>
              <a:lnTo>
                <a:pt x="6096" y="144780"/>
              </a:lnTo>
              <a:lnTo>
                <a:pt x="6096" y="6096"/>
              </a:lnTo>
              <a:lnTo>
                <a:pt x="6096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absoluteAnchor>
    <xdr:pos x="4609592" y="2876803"/>
    <xdr:ext cx="6350" cy="14478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6350" cy="144780"/>
        </a:xfrm>
        <a:custGeom>
          <a:avLst/>
          <a:gdLst/>
          <a:ahLst/>
          <a:cxnLst/>
          <a:rect l="0" t="0" r="0" b="0"/>
          <a:pathLst>
            <a:path w="6350" h="144780">
              <a:moveTo>
                <a:pt x="6096" y="0"/>
              </a:moveTo>
              <a:lnTo>
                <a:pt x="0" y="0"/>
              </a:lnTo>
              <a:lnTo>
                <a:pt x="0" y="6096"/>
              </a:lnTo>
              <a:lnTo>
                <a:pt x="0" y="144780"/>
              </a:lnTo>
              <a:lnTo>
                <a:pt x="6096" y="144780"/>
              </a:lnTo>
              <a:lnTo>
                <a:pt x="6096" y="6096"/>
              </a:lnTo>
              <a:lnTo>
                <a:pt x="6096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1</xdr:col>
      <xdr:colOff>379476</xdr:colOff>
      <xdr:row>1</xdr:row>
      <xdr:rowOff>0</xdr:rowOff>
    </xdr:from>
    <xdr:ext cx="6350" cy="58419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6350" cy="58419"/>
        </a:xfrm>
        <a:custGeom>
          <a:avLst/>
          <a:gdLst/>
          <a:ahLst/>
          <a:cxnLst/>
          <a:rect l="0" t="0" r="0" b="0"/>
          <a:pathLst>
            <a:path w="6350" h="58419">
              <a:moveTo>
                <a:pt x="6096" y="0"/>
              </a:moveTo>
              <a:lnTo>
                <a:pt x="0" y="0"/>
              </a:lnTo>
              <a:lnTo>
                <a:pt x="0" y="6096"/>
              </a:lnTo>
              <a:lnTo>
                <a:pt x="0" y="57912"/>
              </a:lnTo>
              <a:lnTo>
                <a:pt x="6096" y="57912"/>
              </a:lnTo>
              <a:lnTo>
                <a:pt x="6096" y="6096"/>
              </a:lnTo>
              <a:lnTo>
                <a:pt x="609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482092</xdr:colOff>
      <xdr:row>1</xdr:row>
      <xdr:rowOff>0</xdr:rowOff>
    </xdr:from>
    <xdr:ext cx="6350" cy="58419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6350" cy="58419"/>
        </a:xfrm>
        <a:custGeom>
          <a:avLst/>
          <a:gdLst/>
          <a:ahLst/>
          <a:cxnLst/>
          <a:rect l="0" t="0" r="0" b="0"/>
          <a:pathLst>
            <a:path w="6350" h="58419">
              <a:moveTo>
                <a:pt x="6096" y="0"/>
              </a:moveTo>
              <a:lnTo>
                <a:pt x="0" y="0"/>
              </a:lnTo>
              <a:lnTo>
                <a:pt x="0" y="6096"/>
              </a:lnTo>
              <a:lnTo>
                <a:pt x="0" y="57912"/>
              </a:lnTo>
              <a:lnTo>
                <a:pt x="6096" y="57912"/>
              </a:lnTo>
              <a:lnTo>
                <a:pt x="6096" y="6096"/>
              </a:lnTo>
              <a:lnTo>
                <a:pt x="609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364744</xdr:colOff>
      <xdr:row>1</xdr:row>
      <xdr:rowOff>0</xdr:rowOff>
    </xdr:from>
    <xdr:ext cx="6350" cy="14478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6350" cy="144780"/>
        </a:xfrm>
        <a:custGeom>
          <a:avLst/>
          <a:gdLst/>
          <a:ahLst/>
          <a:cxnLst/>
          <a:rect l="0" t="0" r="0" b="0"/>
          <a:pathLst>
            <a:path w="6350" h="144780">
              <a:moveTo>
                <a:pt x="6096" y="0"/>
              </a:moveTo>
              <a:lnTo>
                <a:pt x="0" y="0"/>
              </a:lnTo>
              <a:lnTo>
                <a:pt x="0" y="6096"/>
              </a:lnTo>
              <a:lnTo>
                <a:pt x="0" y="144780"/>
              </a:lnTo>
              <a:lnTo>
                <a:pt x="6096" y="144780"/>
              </a:lnTo>
              <a:lnTo>
                <a:pt x="6096" y="6096"/>
              </a:lnTo>
              <a:lnTo>
                <a:pt x="6096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6</xdr:col>
      <xdr:colOff>482092</xdr:colOff>
      <xdr:row>1</xdr:row>
      <xdr:rowOff>0</xdr:rowOff>
    </xdr:from>
    <xdr:ext cx="6350" cy="14478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6350" cy="144780"/>
        </a:xfrm>
        <a:custGeom>
          <a:avLst/>
          <a:gdLst/>
          <a:ahLst/>
          <a:cxnLst/>
          <a:rect l="0" t="0" r="0" b="0"/>
          <a:pathLst>
            <a:path w="6350" h="144780">
              <a:moveTo>
                <a:pt x="6096" y="0"/>
              </a:moveTo>
              <a:lnTo>
                <a:pt x="0" y="0"/>
              </a:lnTo>
              <a:lnTo>
                <a:pt x="0" y="6096"/>
              </a:lnTo>
              <a:lnTo>
                <a:pt x="0" y="144780"/>
              </a:lnTo>
              <a:lnTo>
                <a:pt x="6096" y="144780"/>
              </a:lnTo>
              <a:lnTo>
                <a:pt x="6096" y="6096"/>
              </a:lnTo>
              <a:lnTo>
                <a:pt x="609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364744</xdr:colOff>
      <xdr:row>1</xdr:row>
      <xdr:rowOff>0</xdr:rowOff>
    </xdr:from>
    <xdr:ext cx="6350" cy="14478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6350" cy="144780"/>
        </a:xfrm>
        <a:custGeom>
          <a:avLst/>
          <a:gdLst/>
          <a:ahLst/>
          <a:cxnLst/>
          <a:rect l="0" t="0" r="0" b="0"/>
          <a:pathLst>
            <a:path w="6350" h="144780">
              <a:moveTo>
                <a:pt x="6096" y="0"/>
              </a:moveTo>
              <a:lnTo>
                <a:pt x="0" y="0"/>
              </a:lnTo>
              <a:lnTo>
                <a:pt x="0" y="6096"/>
              </a:lnTo>
              <a:lnTo>
                <a:pt x="0" y="144780"/>
              </a:lnTo>
              <a:lnTo>
                <a:pt x="6096" y="144780"/>
              </a:lnTo>
              <a:lnTo>
                <a:pt x="6096" y="6096"/>
              </a:lnTo>
              <a:lnTo>
                <a:pt x="6096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6</xdr:col>
      <xdr:colOff>482092</xdr:colOff>
      <xdr:row>1</xdr:row>
      <xdr:rowOff>0</xdr:rowOff>
    </xdr:from>
    <xdr:ext cx="6350" cy="14478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6350" cy="144780"/>
        </a:xfrm>
        <a:custGeom>
          <a:avLst/>
          <a:gdLst/>
          <a:ahLst/>
          <a:cxnLst/>
          <a:rect l="0" t="0" r="0" b="0"/>
          <a:pathLst>
            <a:path w="6350" h="144780">
              <a:moveTo>
                <a:pt x="6096" y="0"/>
              </a:moveTo>
              <a:lnTo>
                <a:pt x="0" y="0"/>
              </a:lnTo>
              <a:lnTo>
                <a:pt x="0" y="6096"/>
              </a:lnTo>
              <a:lnTo>
                <a:pt x="0" y="144780"/>
              </a:lnTo>
              <a:lnTo>
                <a:pt x="6096" y="144780"/>
              </a:lnTo>
              <a:lnTo>
                <a:pt x="6096" y="6096"/>
              </a:lnTo>
              <a:lnTo>
                <a:pt x="609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12</xdr:col>
      <xdr:colOff>43180</xdr:colOff>
      <xdr:row>1</xdr:row>
      <xdr:rowOff>0</xdr:rowOff>
    </xdr:from>
    <xdr:ext cx="591311" cy="15239"/>
    <xdr:pic>
      <xdr:nvPicPr>
        <xdr:cNvPr id="30" name="image5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1311" cy="15239"/>
        </a:xfrm>
        <a:prstGeom prst="rect">
          <a:avLst/>
        </a:prstGeom>
      </xdr:spPr>
    </xdr:pic>
    <xdr:clientData/>
  </xdr:oneCellAnchor>
  <xdr:oneCellAnchor>
    <xdr:from>
      <xdr:col>3</xdr:col>
      <xdr:colOff>637539</xdr:colOff>
      <xdr:row>1</xdr:row>
      <xdr:rowOff>0</xdr:rowOff>
    </xdr:from>
    <xdr:ext cx="711707" cy="7619"/>
    <xdr:pic>
      <xdr:nvPicPr>
        <xdr:cNvPr id="31" name="image6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1707" cy="7619"/>
        </a:xfrm>
        <a:prstGeom prst="rect">
          <a:avLst/>
        </a:prstGeom>
      </xdr:spPr>
    </xdr:pic>
    <xdr:clientData/>
  </xdr:oneCellAnchor>
  <xdr:oneCellAnchor>
    <xdr:from>
      <xdr:col>3</xdr:col>
      <xdr:colOff>755904</xdr:colOff>
      <xdr:row>1</xdr:row>
      <xdr:rowOff>0</xdr:rowOff>
    </xdr:from>
    <xdr:ext cx="472439" cy="30479"/>
    <xdr:pic>
      <xdr:nvPicPr>
        <xdr:cNvPr id="33" name="image8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2439" cy="3047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"/>
  <sheetViews>
    <sheetView tabSelected="1" view="pageBreakPreview" topLeftCell="A16" zoomScaleNormal="100" zoomScaleSheetLayoutView="100" workbookViewId="0">
      <selection activeCell="N29" sqref="N29"/>
    </sheetView>
  </sheetViews>
  <sheetFormatPr baseColWidth="10" defaultColWidth="8.8984375" defaultRowHeight="13" x14ac:dyDescent="0.3"/>
  <cols>
    <col min="1" max="1" width="11.59765625" customWidth="1"/>
    <col min="2" max="2" width="6.8984375" customWidth="1"/>
    <col min="3" max="3" width="17.296875" customWidth="1"/>
    <col min="4" max="4" width="16.19921875" customWidth="1"/>
    <col min="5" max="5" width="15.09765625" customWidth="1"/>
    <col min="6" max="6" width="5.796875" customWidth="1"/>
    <col min="7" max="7" width="10.59765625" style="12" customWidth="1"/>
    <col min="8" max="8" width="9.09765625" customWidth="1"/>
    <col min="9" max="9" width="1.09765625" style="29" customWidth="1"/>
    <col min="10" max="10" width="6.8984375" style="29" customWidth="1"/>
    <col min="11" max="11" width="5.796875" style="29" customWidth="1"/>
    <col min="12" max="13" width="3.296875" customWidth="1"/>
    <col min="14" max="14" width="6.69921875" customWidth="1"/>
  </cols>
  <sheetData>
    <row r="1" spans="1:11" ht="24" customHeight="1" x14ac:dyDescent="0.3">
      <c r="B1" s="32" t="s">
        <v>99</v>
      </c>
    </row>
    <row r="2" spans="1:11" ht="23" customHeight="1" x14ac:dyDescent="0.3">
      <c r="A2" s="2" t="s">
        <v>0</v>
      </c>
      <c r="B2" s="50" t="s">
        <v>1</v>
      </c>
      <c r="C2" s="51"/>
      <c r="D2" s="51"/>
      <c r="E2" s="51"/>
      <c r="F2" s="2" t="s">
        <v>2</v>
      </c>
      <c r="G2" s="9" t="s">
        <v>3</v>
      </c>
      <c r="H2" s="33" t="s">
        <v>4</v>
      </c>
      <c r="I2" s="52" t="s">
        <v>5</v>
      </c>
      <c r="J2" s="53"/>
      <c r="K2" s="54"/>
    </row>
    <row r="3" spans="1:11" ht="18" customHeight="1" x14ac:dyDescent="0.3">
      <c r="A3" s="3">
        <v>1</v>
      </c>
      <c r="B3" s="14" t="s">
        <v>32</v>
      </c>
      <c r="F3" s="1"/>
      <c r="G3" s="10"/>
      <c r="H3" s="30"/>
      <c r="I3" s="55"/>
      <c r="J3" s="56"/>
      <c r="K3" s="57"/>
    </row>
    <row r="4" spans="1:11" ht="15" customHeight="1" x14ac:dyDescent="0.3">
      <c r="A4" s="4" t="s">
        <v>6</v>
      </c>
      <c r="B4" t="s">
        <v>44</v>
      </c>
      <c r="F4" s="4" t="s">
        <v>7</v>
      </c>
      <c r="G4" s="11"/>
      <c r="H4" s="31">
        <v>1</v>
      </c>
      <c r="I4" s="38">
        <f>G4*H4</f>
        <v>0</v>
      </c>
      <c r="J4" s="39"/>
      <c r="K4" s="40"/>
    </row>
    <row r="5" spans="1:11" ht="14.25" customHeight="1" x14ac:dyDescent="0.3">
      <c r="A5" s="4" t="s">
        <v>8</v>
      </c>
      <c r="B5" t="s">
        <v>33</v>
      </c>
      <c r="F5" s="4" t="s">
        <v>7</v>
      </c>
      <c r="G5" s="11"/>
      <c r="H5" s="31">
        <v>1</v>
      </c>
      <c r="I5" s="38">
        <f t="shared" ref="I5:I51" si="0">G5*H5</f>
        <v>0</v>
      </c>
      <c r="J5" s="39"/>
      <c r="K5" s="40"/>
    </row>
    <row r="6" spans="1:11" ht="17" customHeight="1" x14ac:dyDescent="0.3">
      <c r="A6" s="4" t="s">
        <v>9</v>
      </c>
      <c r="B6" t="s">
        <v>34</v>
      </c>
      <c r="F6" s="4" t="s">
        <v>7</v>
      </c>
      <c r="G6" s="11"/>
      <c r="H6" s="31">
        <v>1</v>
      </c>
      <c r="I6" s="38">
        <f t="shared" si="0"/>
        <v>0</v>
      </c>
      <c r="J6" s="39"/>
      <c r="K6" s="40"/>
    </row>
    <row r="7" spans="1:11" ht="35.5" customHeight="1" x14ac:dyDescent="0.3">
      <c r="A7" s="4" t="s">
        <v>10</v>
      </c>
      <c r="B7" s="58" t="s">
        <v>90</v>
      </c>
      <c r="C7" s="59"/>
      <c r="D7" s="59"/>
      <c r="E7" s="60"/>
      <c r="F7" s="4" t="s">
        <v>7</v>
      </c>
      <c r="G7" s="11"/>
      <c r="H7" s="31">
        <v>1</v>
      </c>
      <c r="I7" s="38">
        <f t="shared" si="0"/>
        <v>0</v>
      </c>
      <c r="J7" s="39"/>
      <c r="K7" s="40"/>
    </row>
    <row r="8" spans="1:11" ht="17" customHeight="1" x14ac:dyDescent="0.3">
      <c r="A8" s="4" t="s">
        <v>11</v>
      </c>
      <c r="B8" t="s">
        <v>45</v>
      </c>
      <c r="F8" s="4" t="s">
        <v>7</v>
      </c>
      <c r="G8" s="11"/>
      <c r="H8" s="31">
        <v>1</v>
      </c>
      <c r="I8" s="38">
        <f t="shared" si="0"/>
        <v>0</v>
      </c>
      <c r="J8" s="39"/>
      <c r="K8" s="40"/>
    </row>
    <row r="9" spans="1:11" ht="17" customHeight="1" x14ac:dyDescent="0.3">
      <c r="A9" s="4" t="s">
        <v>80</v>
      </c>
      <c r="B9" s="15" t="s">
        <v>86</v>
      </c>
      <c r="F9" s="27" t="s">
        <v>87</v>
      </c>
      <c r="G9" s="11"/>
      <c r="H9" s="31">
        <v>1</v>
      </c>
      <c r="I9" s="38">
        <f t="shared" ref="I9" si="1">G9*H9</f>
        <v>0</v>
      </c>
      <c r="J9" s="39"/>
      <c r="K9" s="40"/>
    </row>
    <row r="10" spans="1:11" ht="14.25" customHeight="1" x14ac:dyDescent="0.3">
      <c r="A10" s="4" t="s">
        <v>81</v>
      </c>
      <c r="B10" t="s">
        <v>72</v>
      </c>
      <c r="F10" s="4" t="s">
        <v>12</v>
      </c>
      <c r="G10" s="11"/>
      <c r="H10" s="31">
        <v>5800</v>
      </c>
      <c r="I10" s="38">
        <f t="shared" si="0"/>
        <v>0</v>
      </c>
      <c r="J10" s="39"/>
      <c r="K10" s="40"/>
    </row>
    <row r="11" spans="1:11" ht="14.25" customHeight="1" x14ac:dyDescent="0.3">
      <c r="A11" s="4" t="s">
        <v>82</v>
      </c>
      <c r="B11" t="s">
        <v>70</v>
      </c>
      <c r="F11" s="4" t="s">
        <v>7</v>
      </c>
      <c r="G11" s="11"/>
      <c r="H11" s="31">
        <v>1</v>
      </c>
      <c r="I11" s="38">
        <f t="shared" si="0"/>
        <v>0</v>
      </c>
      <c r="J11" s="39"/>
      <c r="K11" s="40"/>
    </row>
    <row r="12" spans="1:11" ht="14.25" customHeight="1" x14ac:dyDescent="0.3">
      <c r="A12" s="4" t="s">
        <v>83</v>
      </c>
      <c r="B12" t="s">
        <v>71</v>
      </c>
      <c r="F12" s="5"/>
      <c r="G12" s="11"/>
      <c r="H12" s="31"/>
      <c r="I12" s="38">
        <f t="shared" si="0"/>
        <v>0</v>
      </c>
      <c r="J12" s="39"/>
      <c r="K12" s="40"/>
    </row>
    <row r="13" spans="1:11" ht="14.25" customHeight="1" x14ac:dyDescent="0.3">
      <c r="A13" s="5"/>
      <c r="B13" s="15" t="s">
        <v>89</v>
      </c>
      <c r="F13" s="4" t="s">
        <v>13</v>
      </c>
      <c r="G13" s="11"/>
      <c r="H13" s="31">
        <f>4924+702</f>
        <v>5626</v>
      </c>
      <c r="I13" s="38">
        <f t="shared" si="0"/>
        <v>0</v>
      </c>
      <c r="J13" s="39"/>
      <c r="K13" s="40"/>
    </row>
    <row r="14" spans="1:11" ht="14.25" customHeight="1" x14ac:dyDescent="0.3">
      <c r="A14" s="5"/>
      <c r="B14" s="15" t="s">
        <v>59</v>
      </c>
      <c r="F14" s="4" t="s">
        <v>13</v>
      </c>
      <c r="G14" s="11"/>
      <c r="H14" s="31">
        <f>5626-4360</f>
        <v>1266</v>
      </c>
      <c r="I14" s="38">
        <f t="shared" si="0"/>
        <v>0</v>
      </c>
      <c r="J14" s="39"/>
      <c r="K14" s="40"/>
    </row>
    <row r="15" spans="1:11" ht="14.25" customHeight="1" x14ac:dyDescent="0.3">
      <c r="A15" s="5"/>
      <c r="B15" s="15" t="s">
        <v>88</v>
      </c>
      <c r="F15" s="27" t="s">
        <v>91</v>
      </c>
      <c r="G15" s="11"/>
      <c r="H15" s="31">
        <v>4360</v>
      </c>
      <c r="I15" s="38">
        <f t="shared" ref="I15" si="2">G15*H15</f>
        <v>0</v>
      </c>
      <c r="J15" s="39"/>
      <c r="K15" s="40"/>
    </row>
    <row r="16" spans="1:11" ht="14.25" customHeight="1" x14ac:dyDescent="0.3">
      <c r="A16" s="27" t="s">
        <v>84</v>
      </c>
      <c r="B16" s="15" t="s">
        <v>58</v>
      </c>
      <c r="F16" s="4" t="s">
        <v>13</v>
      </c>
      <c r="G16" s="11"/>
      <c r="H16" s="31">
        <f>17*6</f>
        <v>102</v>
      </c>
      <c r="I16" s="38">
        <f t="shared" si="0"/>
        <v>0</v>
      </c>
      <c r="J16" s="39"/>
      <c r="K16" s="40"/>
    </row>
    <row r="17" spans="1:11" ht="14.25" customHeight="1" x14ac:dyDescent="0.3">
      <c r="A17" s="27" t="s">
        <v>85</v>
      </c>
      <c r="B17" t="s">
        <v>46</v>
      </c>
      <c r="F17" s="5"/>
      <c r="G17" s="11"/>
      <c r="H17" s="31"/>
      <c r="I17" s="38">
        <f t="shared" si="0"/>
        <v>0</v>
      </c>
      <c r="J17" s="39"/>
      <c r="K17" s="40"/>
    </row>
    <row r="18" spans="1:11" ht="14.25" customHeight="1" x14ac:dyDescent="0.3">
      <c r="A18" s="5"/>
      <c r="B18" t="s">
        <v>35</v>
      </c>
      <c r="F18" s="4" t="s">
        <v>12</v>
      </c>
      <c r="G18" s="11"/>
      <c r="H18" s="31">
        <f>H40+H41+H42</f>
        <v>1672</v>
      </c>
      <c r="I18" s="38">
        <f t="shared" si="0"/>
        <v>0</v>
      </c>
      <c r="J18" s="39"/>
      <c r="K18" s="40"/>
    </row>
    <row r="19" spans="1:11" ht="14.25" customHeight="1" x14ac:dyDescent="0.3">
      <c r="A19" s="5"/>
      <c r="B19" s="15" t="s">
        <v>66</v>
      </c>
      <c r="F19" s="4" t="s">
        <v>12</v>
      </c>
      <c r="G19" s="11"/>
      <c r="H19" s="31">
        <v>1160</v>
      </c>
      <c r="I19" s="38">
        <f t="shared" si="0"/>
        <v>0</v>
      </c>
      <c r="J19" s="39"/>
      <c r="K19" s="40"/>
    </row>
    <row r="20" spans="1:11" ht="14.25" customHeight="1" x14ac:dyDescent="0.3">
      <c r="A20" s="4" t="s">
        <v>14</v>
      </c>
      <c r="B20" t="s">
        <v>36</v>
      </c>
      <c r="F20" s="4" t="s">
        <v>12</v>
      </c>
      <c r="G20" s="11"/>
      <c r="H20" s="31">
        <f>H18</f>
        <v>1672</v>
      </c>
      <c r="I20" s="38">
        <f t="shared" si="0"/>
        <v>0</v>
      </c>
      <c r="J20" s="39"/>
      <c r="K20" s="40"/>
    </row>
    <row r="21" spans="1:11" ht="14.25" customHeight="1" x14ac:dyDescent="0.3">
      <c r="A21" s="4" t="s">
        <v>15</v>
      </c>
      <c r="B21" s="15" t="s">
        <v>69</v>
      </c>
      <c r="F21" s="4" t="s">
        <v>13</v>
      </c>
      <c r="G21" s="11"/>
      <c r="H21" s="31">
        <f>H40*0.2</f>
        <v>96.800000000000011</v>
      </c>
      <c r="I21" s="38">
        <f t="shared" si="0"/>
        <v>0</v>
      </c>
      <c r="J21" s="39"/>
      <c r="K21" s="40"/>
    </row>
    <row r="22" spans="1:11" ht="14.25" customHeight="1" x14ac:dyDescent="0.3">
      <c r="A22" s="4" t="s">
        <v>16</v>
      </c>
      <c r="B22" t="s">
        <v>47</v>
      </c>
      <c r="F22" s="4" t="s">
        <v>13</v>
      </c>
      <c r="G22" s="31"/>
      <c r="H22" s="31"/>
      <c r="I22" s="38"/>
      <c r="J22" s="39"/>
      <c r="K22" s="40"/>
    </row>
    <row r="23" spans="1:11" ht="14.25" customHeight="1" x14ac:dyDescent="0.3">
      <c r="A23" s="4" t="s">
        <v>17</v>
      </c>
      <c r="B23" s="15" t="s">
        <v>92</v>
      </c>
      <c r="F23" s="4" t="s">
        <v>13</v>
      </c>
      <c r="G23" s="11"/>
      <c r="H23" s="31">
        <f>2780*0.3</f>
        <v>834</v>
      </c>
      <c r="I23" s="38">
        <f t="shared" si="0"/>
        <v>0</v>
      </c>
      <c r="J23" s="39"/>
      <c r="K23" s="40"/>
    </row>
    <row r="24" spans="1:11" ht="14.25" customHeight="1" x14ac:dyDescent="0.3">
      <c r="A24" s="4" t="s">
        <v>18</v>
      </c>
      <c r="B24" t="s">
        <v>48</v>
      </c>
      <c r="F24" s="4" t="s">
        <v>12</v>
      </c>
      <c r="G24" s="11"/>
      <c r="H24" s="31">
        <v>80</v>
      </c>
      <c r="I24" s="38">
        <f t="shared" si="0"/>
        <v>0</v>
      </c>
      <c r="J24" s="39"/>
      <c r="K24" s="40"/>
    </row>
    <row r="25" spans="1:11" ht="14.25" customHeight="1" x14ac:dyDescent="0.3">
      <c r="A25" s="4" t="s">
        <v>19</v>
      </c>
      <c r="B25" t="s">
        <v>49</v>
      </c>
      <c r="D25" t="s">
        <v>79</v>
      </c>
      <c r="F25" s="4" t="s">
        <v>13</v>
      </c>
      <c r="G25" s="11"/>
      <c r="H25" s="31">
        <f>H14</f>
        <v>1266</v>
      </c>
      <c r="I25" s="38">
        <f t="shared" si="0"/>
        <v>0</v>
      </c>
      <c r="J25" s="39"/>
      <c r="K25" s="40"/>
    </row>
    <row r="26" spans="1:11" ht="15" customHeight="1" x14ac:dyDescent="0.3">
      <c r="A26" s="4" t="s">
        <v>20</v>
      </c>
      <c r="B26" t="s">
        <v>50</v>
      </c>
      <c r="F26" s="4" t="s">
        <v>7</v>
      </c>
      <c r="G26" s="11"/>
      <c r="H26" s="31">
        <v>1</v>
      </c>
      <c r="I26" s="38">
        <f t="shared" si="0"/>
        <v>0</v>
      </c>
      <c r="J26" s="39"/>
      <c r="K26" s="40"/>
    </row>
    <row r="27" spans="1:11" ht="15" customHeight="1" x14ac:dyDescent="0.3">
      <c r="A27" s="4" t="s">
        <v>100</v>
      </c>
      <c r="B27" t="s">
        <v>102</v>
      </c>
      <c r="F27" s="4" t="s">
        <v>73</v>
      </c>
      <c r="G27" s="11"/>
      <c r="H27" s="31">
        <v>30</v>
      </c>
      <c r="I27" s="38">
        <f t="shared" ref="I27:I28" si="3">G27*H27</f>
        <v>0</v>
      </c>
      <c r="J27" s="39"/>
      <c r="K27" s="40"/>
    </row>
    <row r="28" spans="1:11" ht="15" customHeight="1" x14ac:dyDescent="0.3">
      <c r="A28" s="4" t="s">
        <v>103</v>
      </c>
      <c r="B28" t="s">
        <v>104</v>
      </c>
      <c r="F28" s="4" t="s">
        <v>73</v>
      </c>
      <c r="G28" s="11"/>
      <c r="H28" s="31">
        <v>30</v>
      </c>
      <c r="I28" s="38">
        <f t="shared" si="3"/>
        <v>0</v>
      </c>
      <c r="J28" s="39"/>
      <c r="K28" s="40"/>
    </row>
    <row r="29" spans="1:11" ht="15" customHeight="1" x14ac:dyDescent="0.3">
      <c r="A29" s="4" t="s">
        <v>101</v>
      </c>
      <c r="B29" t="s">
        <v>106</v>
      </c>
      <c r="F29" s="4" t="s">
        <v>105</v>
      </c>
      <c r="G29" s="11"/>
      <c r="H29" s="31">
        <v>7</v>
      </c>
      <c r="I29" s="38">
        <f t="shared" ref="I29" si="4">G29*H29</f>
        <v>0</v>
      </c>
      <c r="J29" s="39"/>
      <c r="K29" s="40"/>
    </row>
    <row r="30" spans="1:11" ht="18" customHeight="1" x14ac:dyDescent="0.3">
      <c r="A30" s="5"/>
      <c r="B30" s="35" t="s">
        <v>37</v>
      </c>
      <c r="C30" s="36"/>
      <c r="D30" s="36"/>
      <c r="E30" s="37"/>
      <c r="F30" s="5"/>
      <c r="G30" s="11"/>
      <c r="H30" s="31"/>
      <c r="I30" s="44">
        <f>+SUM(I4:K26)</f>
        <v>0</v>
      </c>
      <c r="J30" s="45"/>
      <c r="K30" s="46"/>
    </row>
    <row r="31" spans="1:11" ht="17" customHeight="1" x14ac:dyDescent="0.3">
      <c r="A31" s="6">
        <v>2</v>
      </c>
      <c r="B31" t="s">
        <v>38</v>
      </c>
      <c r="F31" s="26"/>
      <c r="G31" s="11"/>
      <c r="H31" s="31"/>
      <c r="I31" s="38"/>
      <c r="J31" s="39"/>
      <c r="K31" s="40"/>
    </row>
    <row r="32" spans="1:11" ht="15" customHeight="1" x14ac:dyDescent="0.3">
      <c r="A32" s="4" t="s">
        <v>21</v>
      </c>
      <c r="B32" t="s">
        <v>39</v>
      </c>
      <c r="F32" s="4" t="s">
        <v>22</v>
      </c>
      <c r="G32" s="11"/>
      <c r="H32" s="31">
        <v>20</v>
      </c>
      <c r="I32" s="38">
        <f t="shared" si="0"/>
        <v>0</v>
      </c>
      <c r="J32" s="39"/>
      <c r="K32" s="40"/>
    </row>
    <row r="33" spans="1:11" ht="14.25" customHeight="1" x14ac:dyDescent="0.3">
      <c r="A33" s="4" t="s">
        <v>23</v>
      </c>
      <c r="B33" t="s">
        <v>51</v>
      </c>
      <c r="F33" s="4" t="s">
        <v>22</v>
      </c>
      <c r="G33" s="11"/>
      <c r="H33" s="31">
        <v>20</v>
      </c>
      <c r="I33" s="38">
        <f t="shared" si="0"/>
        <v>0</v>
      </c>
      <c r="J33" s="39"/>
      <c r="K33" s="40"/>
    </row>
    <row r="34" spans="1:11" ht="14.25" customHeight="1" x14ac:dyDescent="0.3">
      <c r="A34" s="4" t="s">
        <v>24</v>
      </c>
      <c r="B34" s="15" t="s">
        <v>65</v>
      </c>
      <c r="F34" s="4" t="s">
        <v>12</v>
      </c>
      <c r="G34" s="11"/>
      <c r="H34" s="31">
        <v>25</v>
      </c>
      <c r="I34" s="38">
        <f t="shared" si="0"/>
        <v>0</v>
      </c>
      <c r="J34" s="39"/>
      <c r="K34" s="40"/>
    </row>
    <row r="35" spans="1:11" ht="14.25" customHeight="1" x14ac:dyDescent="0.3">
      <c r="A35" s="4" t="s">
        <v>25</v>
      </c>
      <c r="B35" t="s">
        <v>40</v>
      </c>
      <c r="F35" s="4" t="s">
        <v>12</v>
      </c>
      <c r="G35" s="11"/>
      <c r="H35" s="31">
        <v>25</v>
      </c>
      <c r="I35" s="38">
        <f t="shared" si="0"/>
        <v>0</v>
      </c>
      <c r="J35" s="39"/>
      <c r="K35" s="40"/>
    </row>
    <row r="36" spans="1:11" ht="14.25" customHeight="1" x14ac:dyDescent="0.3">
      <c r="A36" s="4" t="s">
        <v>26</v>
      </c>
      <c r="B36" t="s">
        <v>74</v>
      </c>
      <c r="F36" s="27" t="s">
        <v>73</v>
      </c>
      <c r="G36" s="11"/>
      <c r="H36" s="31">
        <v>1166</v>
      </c>
      <c r="I36" s="38">
        <f t="shared" si="0"/>
        <v>0</v>
      </c>
      <c r="J36" s="39"/>
      <c r="K36" s="40"/>
    </row>
    <row r="37" spans="1:11" ht="14.25" customHeight="1" x14ac:dyDescent="0.3">
      <c r="A37" s="4" t="s">
        <v>27</v>
      </c>
      <c r="B37" t="s">
        <v>53</v>
      </c>
      <c r="F37" s="4" t="s">
        <v>13</v>
      </c>
      <c r="G37" s="11"/>
      <c r="H37" s="34">
        <f>H40*0.2+H41*0.2</f>
        <v>241.20000000000002</v>
      </c>
      <c r="I37" s="38">
        <f t="shared" si="0"/>
        <v>0</v>
      </c>
      <c r="J37" s="39"/>
      <c r="K37" s="40"/>
    </row>
    <row r="38" spans="1:11" ht="14.25" customHeight="1" x14ac:dyDescent="0.3">
      <c r="A38" s="4" t="s">
        <v>28</v>
      </c>
      <c r="B38" t="s">
        <v>54</v>
      </c>
      <c r="F38" s="4" t="s">
        <v>13</v>
      </c>
      <c r="G38" s="11"/>
      <c r="H38" s="31">
        <f>H40*0.2+H41*0.1</f>
        <v>169</v>
      </c>
      <c r="I38" s="38">
        <f t="shared" si="0"/>
        <v>0</v>
      </c>
      <c r="J38" s="39"/>
      <c r="K38" s="40"/>
    </row>
    <row r="39" spans="1:11" ht="15" customHeight="1" x14ac:dyDescent="0.3">
      <c r="A39" s="4" t="s">
        <v>29</v>
      </c>
      <c r="B39" t="s">
        <v>52</v>
      </c>
      <c r="F39" s="5"/>
      <c r="G39" s="11"/>
      <c r="H39" s="31"/>
      <c r="I39" s="38">
        <f t="shared" si="0"/>
        <v>0</v>
      </c>
      <c r="J39" s="39"/>
      <c r="K39" s="40"/>
    </row>
    <row r="40" spans="1:11" ht="25.25" customHeight="1" x14ac:dyDescent="0.3">
      <c r="A40" s="7"/>
      <c r="B40" s="58" t="s">
        <v>93</v>
      </c>
      <c r="C40" s="61"/>
      <c r="D40" s="61"/>
      <c r="E40" s="62"/>
      <c r="F40" s="4" t="s">
        <v>12</v>
      </c>
      <c r="G40" s="11"/>
      <c r="H40" s="31">
        <f>224+260</f>
        <v>484</v>
      </c>
      <c r="I40" s="38">
        <f t="shared" si="0"/>
        <v>0</v>
      </c>
      <c r="J40" s="39"/>
      <c r="K40" s="40"/>
    </row>
    <row r="41" spans="1:11" ht="31" customHeight="1" x14ac:dyDescent="0.3">
      <c r="A41" s="7"/>
      <c r="B41" s="58" t="s">
        <v>94</v>
      </c>
      <c r="C41" s="61"/>
      <c r="D41" s="61"/>
      <c r="E41" s="62"/>
      <c r="F41" s="4" t="s">
        <v>12</v>
      </c>
      <c r="G41" s="11"/>
      <c r="H41" s="31">
        <v>722</v>
      </c>
      <c r="I41" s="38">
        <f t="shared" si="0"/>
        <v>0</v>
      </c>
      <c r="J41" s="39"/>
      <c r="K41" s="40"/>
    </row>
    <row r="42" spans="1:11" ht="20" customHeight="1" x14ac:dyDescent="0.3">
      <c r="A42" s="4" t="s">
        <v>78</v>
      </c>
      <c r="B42" s="15" t="s">
        <v>95</v>
      </c>
      <c r="F42" s="4" t="s">
        <v>73</v>
      </c>
      <c r="G42" s="11"/>
      <c r="H42" s="31">
        <v>466</v>
      </c>
      <c r="I42" s="38">
        <f t="shared" ref="I42" si="5">G42*H42</f>
        <v>0</v>
      </c>
      <c r="J42" s="39"/>
      <c r="K42" s="40"/>
    </row>
    <row r="43" spans="1:11" ht="15" customHeight="1" x14ac:dyDescent="0.3">
      <c r="A43" s="27" t="s">
        <v>75</v>
      </c>
      <c r="B43" t="s">
        <v>41</v>
      </c>
      <c r="F43" s="5"/>
      <c r="G43" s="11"/>
      <c r="H43" s="31"/>
      <c r="I43" s="38">
        <f t="shared" si="0"/>
        <v>0</v>
      </c>
      <c r="J43" s="39"/>
      <c r="K43" s="40"/>
    </row>
    <row r="44" spans="1:11" ht="15" customHeight="1" x14ac:dyDescent="0.3">
      <c r="A44" s="4"/>
      <c r="B44" t="s">
        <v>67</v>
      </c>
      <c r="F44" s="4" t="s">
        <v>31</v>
      </c>
      <c r="G44" s="11"/>
      <c r="H44" s="31">
        <v>334</v>
      </c>
      <c r="I44" s="38">
        <f>G44*H44</f>
        <v>0</v>
      </c>
      <c r="J44" s="39"/>
      <c r="K44" s="40"/>
    </row>
    <row r="45" spans="1:11" ht="14.25" customHeight="1" x14ac:dyDescent="0.3">
      <c r="A45" s="5"/>
      <c r="B45" t="s">
        <v>68</v>
      </c>
      <c r="F45" s="4" t="s">
        <v>22</v>
      </c>
      <c r="G45" s="11"/>
      <c r="H45" s="31">
        <v>352</v>
      </c>
      <c r="I45" s="38">
        <f t="shared" si="0"/>
        <v>0</v>
      </c>
      <c r="J45" s="39"/>
      <c r="K45" s="40"/>
    </row>
    <row r="46" spans="1:11" ht="14.25" customHeight="1" x14ac:dyDescent="0.3">
      <c r="A46" s="5"/>
      <c r="B46" s="15" t="s">
        <v>96</v>
      </c>
      <c r="F46" s="27" t="s">
        <v>31</v>
      </c>
      <c r="G46" s="11"/>
      <c r="H46" s="31">
        <v>350</v>
      </c>
      <c r="I46" s="38">
        <f t="shared" ref="I46" si="6">G46*H46</f>
        <v>0</v>
      </c>
      <c r="J46" s="39"/>
      <c r="K46" s="40"/>
    </row>
    <row r="47" spans="1:11" ht="14.25" customHeight="1" x14ac:dyDescent="0.3">
      <c r="A47" s="27" t="s">
        <v>76</v>
      </c>
      <c r="B47" t="s">
        <v>42</v>
      </c>
      <c r="F47" s="5"/>
      <c r="G47" s="11"/>
      <c r="H47" s="31"/>
      <c r="I47" s="38">
        <f t="shared" si="0"/>
        <v>0</v>
      </c>
      <c r="J47" s="39"/>
      <c r="K47" s="40"/>
    </row>
    <row r="48" spans="1:11" ht="14.25" customHeight="1" x14ac:dyDescent="0.3">
      <c r="A48" s="5"/>
      <c r="B48" t="s">
        <v>55</v>
      </c>
      <c r="F48" s="4" t="s">
        <v>30</v>
      </c>
      <c r="G48" s="11"/>
      <c r="H48" s="31">
        <v>4</v>
      </c>
      <c r="I48" s="38">
        <f t="shared" si="0"/>
        <v>0</v>
      </c>
      <c r="J48" s="39"/>
      <c r="K48" s="40"/>
    </row>
    <row r="49" spans="1:11" ht="14.25" customHeight="1" x14ac:dyDescent="0.3">
      <c r="A49" s="5"/>
      <c r="B49" t="s">
        <v>56</v>
      </c>
      <c r="F49" s="4" t="s">
        <v>22</v>
      </c>
      <c r="G49" s="11"/>
      <c r="H49" s="31">
        <v>345</v>
      </c>
      <c r="I49" s="38">
        <f t="shared" si="0"/>
        <v>0</v>
      </c>
      <c r="J49" s="39"/>
      <c r="K49" s="40"/>
    </row>
    <row r="50" spans="1:11" ht="14.25" customHeight="1" x14ac:dyDescent="0.3">
      <c r="A50" s="5"/>
      <c r="B50" t="s">
        <v>57</v>
      </c>
      <c r="F50" s="4" t="s">
        <v>30</v>
      </c>
      <c r="G50" s="11"/>
      <c r="H50" s="31">
        <v>4</v>
      </c>
      <c r="I50" s="38">
        <f t="shared" si="0"/>
        <v>0</v>
      </c>
      <c r="J50" s="39"/>
      <c r="K50" s="40"/>
    </row>
    <row r="51" spans="1:11" ht="14.25" customHeight="1" x14ac:dyDescent="0.3">
      <c r="A51" s="5"/>
      <c r="B51" t="s">
        <v>43</v>
      </c>
      <c r="F51" s="4" t="s">
        <v>30</v>
      </c>
      <c r="G51" s="11"/>
      <c r="H51" s="31">
        <v>1</v>
      </c>
      <c r="I51" s="38">
        <f t="shared" si="0"/>
        <v>0</v>
      </c>
      <c r="J51" s="39"/>
      <c r="K51" s="40"/>
    </row>
    <row r="52" spans="1:11" ht="14.25" customHeight="1" x14ac:dyDescent="0.3">
      <c r="A52" s="5"/>
      <c r="B52" s="15" t="s">
        <v>97</v>
      </c>
      <c r="C52" s="16"/>
      <c r="D52" s="16"/>
      <c r="E52" s="16"/>
      <c r="F52" s="4" t="s">
        <v>98</v>
      </c>
      <c r="G52" s="13"/>
      <c r="H52" s="31">
        <v>20</v>
      </c>
      <c r="I52" s="38">
        <f t="shared" ref="I52" si="7">G52*H52</f>
        <v>0</v>
      </c>
      <c r="J52" s="39"/>
      <c r="K52" s="40"/>
    </row>
    <row r="53" spans="1:11" ht="15" customHeight="1" x14ac:dyDescent="0.3">
      <c r="A53" s="27" t="s">
        <v>77</v>
      </c>
      <c r="B53" s="15" t="s">
        <v>64</v>
      </c>
      <c r="C53" s="16"/>
      <c r="D53" s="16"/>
      <c r="E53" s="16"/>
      <c r="F53" s="4" t="s">
        <v>30</v>
      </c>
      <c r="G53" s="13"/>
      <c r="H53" s="31">
        <v>13</v>
      </c>
      <c r="I53" s="38">
        <f>G53*H53</f>
        <v>0</v>
      </c>
      <c r="J53" s="39"/>
      <c r="K53" s="40"/>
    </row>
    <row r="54" spans="1:11" ht="24" customHeight="1" x14ac:dyDescent="0.3">
      <c r="A54" s="7"/>
      <c r="B54" s="35" t="s">
        <v>60</v>
      </c>
      <c r="C54" s="36"/>
      <c r="D54" s="36"/>
      <c r="E54" s="37"/>
      <c r="F54" s="7"/>
      <c r="G54" s="13"/>
      <c r="H54" s="8"/>
      <c r="I54" s="44">
        <f>SUM(I32:K53)</f>
        <v>0</v>
      </c>
      <c r="J54" s="45"/>
      <c r="K54" s="46"/>
    </row>
    <row r="55" spans="1:11" s="14" customFormat="1" ht="26" customHeight="1" x14ac:dyDescent="0.3">
      <c r="A55" s="17"/>
      <c r="B55" s="14" t="s">
        <v>61</v>
      </c>
      <c r="C55" s="18"/>
      <c r="D55" s="18"/>
      <c r="E55" s="18"/>
      <c r="F55" s="17"/>
      <c r="G55" s="19"/>
      <c r="H55" s="20"/>
      <c r="I55" s="47">
        <f>+I54+I30</f>
        <v>0</v>
      </c>
      <c r="J55" s="48"/>
      <c r="K55" s="49"/>
    </row>
    <row r="56" spans="1:11" s="14" customFormat="1" ht="18" customHeight="1" x14ac:dyDescent="0.3">
      <c r="A56" s="17"/>
      <c r="B56" s="14" t="s">
        <v>62</v>
      </c>
      <c r="C56" s="18"/>
      <c r="D56" s="18"/>
      <c r="E56" s="18"/>
      <c r="F56" s="17"/>
      <c r="G56" s="19"/>
      <c r="H56" s="20"/>
      <c r="I56" s="44">
        <f>+I55*0.2</f>
        <v>0</v>
      </c>
      <c r="J56" s="45"/>
      <c r="K56" s="46"/>
    </row>
    <row r="57" spans="1:11" s="14" customFormat="1" ht="17.75" customHeight="1" x14ac:dyDescent="0.3">
      <c r="A57" s="21"/>
      <c r="B57" s="22" t="s">
        <v>63</v>
      </c>
      <c r="C57" s="23"/>
      <c r="D57" s="23"/>
      <c r="E57" s="23"/>
      <c r="F57" s="21"/>
      <c r="G57" s="24"/>
      <c r="H57" s="25"/>
      <c r="I57" s="41">
        <f>+I55+I56</f>
        <v>0</v>
      </c>
      <c r="J57" s="42"/>
      <c r="K57" s="43"/>
    </row>
    <row r="58" spans="1:11" x14ac:dyDescent="0.3">
      <c r="I58" s="28"/>
      <c r="J58" s="28"/>
      <c r="K58" s="28"/>
    </row>
  </sheetData>
  <mergeCells count="62">
    <mergeCell ref="I23:K23"/>
    <mergeCell ref="I24:K24"/>
    <mergeCell ref="I14:K14"/>
    <mergeCell ref="I16:K16"/>
    <mergeCell ref="I17:K17"/>
    <mergeCell ref="I18:K18"/>
    <mergeCell ref="I19:K19"/>
    <mergeCell ref="I20:K20"/>
    <mergeCell ref="I21:K21"/>
    <mergeCell ref="I22:K22"/>
    <mergeCell ref="I15:K15"/>
    <mergeCell ref="B40:E40"/>
    <mergeCell ref="I46:K46"/>
    <mergeCell ref="B30:E30"/>
    <mergeCell ref="I38:K38"/>
    <mergeCell ref="I39:K39"/>
    <mergeCell ref="I40:K40"/>
    <mergeCell ref="I41:K41"/>
    <mergeCell ref="I44:K44"/>
    <mergeCell ref="I43:K43"/>
    <mergeCell ref="I33:K33"/>
    <mergeCell ref="I34:K34"/>
    <mergeCell ref="I35:K35"/>
    <mergeCell ref="I36:K36"/>
    <mergeCell ref="I37:K37"/>
    <mergeCell ref="I42:K42"/>
    <mergeCell ref="B41:E41"/>
    <mergeCell ref="B2:E2"/>
    <mergeCell ref="I2:K2"/>
    <mergeCell ref="I13:K13"/>
    <mergeCell ref="I7:K7"/>
    <mergeCell ref="I8:K8"/>
    <mergeCell ref="I10:K10"/>
    <mergeCell ref="I11:K11"/>
    <mergeCell ref="I12:K12"/>
    <mergeCell ref="I3:K3"/>
    <mergeCell ref="I4:K4"/>
    <mergeCell ref="I5:K5"/>
    <mergeCell ref="I6:K6"/>
    <mergeCell ref="I9:K9"/>
    <mergeCell ref="B7:E7"/>
    <mergeCell ref="I25:K25"/>
    <mergeCell ref="I26:K26"/>
    <mergeCell ref="I30:K30"/>
    <mergeCell ref="I31:K31"/>
    <mergeCell ref="I32:K32"/>
    <mergeCell ref="I27:K27"/>
    <mergeCell ref="I28:K28"/>
    <mergeCell ref="I29:K29"/>
    <mergeCell ref="B54:E54"/>
    <mergeCell ref="I53:K53"/>
    <mergeCell ref="I52:K52"/>
    <mergeCell ref="I57:K57"/>
    <mergeCell ref="I45:K45"/>
    <mergeCell ref="I47:K47"/>
    <mergeCell ref="I48:K48"/>
    <mergeCell ref="I49:K49"/>
    <mergeCell ref="I50:K50"/>
    <mergeCell ref="I51:K51"/>
    <mergeCell ref="I54:K54"/>
    <mergeCell ref="I55:K55"/>
    <mergeCell ref="I56:K56"/>
  </mergeCells>
  <phoneticPr fontId="16" type="noConversion"/>
  <pageMargins left="0.7" right="0.7" top="0.75" bottom="0.75" header="0.3" footer="0.3"/>
  <pageSetup paperSize="9" scale="8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DPFF LOT 1A</vt:lpstr>
      <vt:lpstr>'DPFF LOT 1A'!Zone_d_impression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Sierri</dc:creator>
  <cp:lastModifiedBy>gregory TISSIER</cp:lastModifiedBy>
  <cp:lastPrinted>2022-06-27T14:28:31Z</cp:lastPrinted>
  <dcterms:created xsi:type="dcterms:W3CDTF">2022-06-23T17:31:56Z</dcterms:created>
  <dcterms:modified xsi:type="dcterms:W3CDTF">2026-06-29T15:11:06Z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2021-07-26T00:00:00Z</vt:filetime>
  </property>
  <property fmtid="{D5CDD505-2E9C-101B-9397-08002B2CF9AE}" pid="3" name="Creator">
    <vt:lpwstr>PDFsam Enhanced 7</vt:lpwstr>
  </property>
  <property fmtid="{D5CDD505-2E9C-101B-9397-08002B2CF9AE}" pid="4" name="LastSaved">
    <vt:filetime>2022-06-23T00:00:00Z</vt:filetime>
  </property>
  <property fmtid="{D5CDD505-2E9C-101B-9397-08002B2CF9AE}" pid="5" name="Producer">
    <vt:lpwstr>PDFsam Enhanced 7</vt:lpwstr>
  </property>
</Properties>
</file>