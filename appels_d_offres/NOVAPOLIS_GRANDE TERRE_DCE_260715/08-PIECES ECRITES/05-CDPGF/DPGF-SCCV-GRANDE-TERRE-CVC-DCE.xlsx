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Z:\03-LOGEMENT COLLECTIF\02-PROMOTEUR\NOVAPOLIS IMMO\MOE FLUIDES-VIERGE2\02-ETUDE\09-ENVOI\2026.07.09\LOT PB CVC\PIECES ECRITES\"/>
    </mc:Choice>
  </mc:AlternateContent>
  <xr:revisionPtr revIDLastSave="0" documentId="13_ncr:1_{ED984FD2-3283-4C54-BBC1-AD0D0236F3AF}" xr6:coauthVersionLast="47" xr6:coauthVersionMax="47" xr10:uidLastSave="{00000000-0000-0000-0000-000000000000}"/>
  <bookViews>
    <workbookView xWindow="28680" yWindow="-1185" windowWidth="29040" windowHeight="15720" tabRatio="881" xr2:uid="{00000000-000D-0000-FFFF-FFFF00000000}"/>
  </bookViews>
  <sheets>
    <sheet name="DPGF LOT N°---" sheetId="45" r:id="rId1"/>
  </sheets>
  <definedNames>
    <definedName name="ABC_Architectes">#REF!</definedName>
    <definedName name="Agena_Architecture">#REF!</definedName>
    <definedName name="Agence_Maurice">#REF!</definedName>
    <definedName name="AGRICOLE">#REF!</definedName>
    <definedName name="ALPES_CONTRÔLE">#REF!</definedName>
    <definedName name="Archi_2">#REF!</definedName>
    <definedName name="Archi_Concept">#REF!</definedName>
    <definedName name="Archi_Plury">#REF!</definedName>
    <definedName name="ARCHITECTE">#REF!</definedName>
    <definedName name="Association_Alfred_Sauvy">#REF!</definedName>
    <definedName name="Atelier_Garrabe">#REF!</definedName>
    <definedName name="Athaner_immobilier">#REF!</definedName>
    <definedName name="Athaner_investissement">#REF!</definedName>
    <definedName name="AUDD_Architecture">#REF!</definedName>
    <definedName name="AXIO_1">#REF!</definedName>
    <definedName name="Axio_2">#REF!</definedName>
    <definedName name="BAAM_Architecture">#REF!</definedName>
    <definedName name="BAM_Architecture">#REF!</definedName>
    <definedName name="Bouygues_immobilier">#REF!</definedName>
    <definedName name="Bureau_Qualiconsult">#REF!</definedName>
    <definedName name="Bureau_VERITAS">#REF!</definedName>
    <definedName name="CONTROLEUR">#REF!</definedName>
    <definedName name="Credit_Agricole_Sud_Med">#REF!</definedName>
    <definedName name="CVC">#REF!</definedName>
    <definedName name="CVC_ELECTRICITE">#REF!</definedName>
    <definedName name="DF_ARCHITECTURE">#REF!</definedName>
    <definedName name="Didier_Monetti">#REF!</definedName>
    <definedName name="DUMONT_Benoit">#REF!</definedName>
    <definedName name="ECOTYPE_Vincent_Merignac">#REF!</definedName>
    <definedName name="ELECTRICITE">#REF!</definedName>
    <definedName name="entreprise_privee">#REF!</definedName>
    <definedName name="ERP">#REF!</definedName>
    <definedName name="ERT">#REF!</definedName>
    <definedName name="essai_2">#REF!</definedName>
    <definedName name="Fabre_promotion">#REF!</definedName>
    <definedName name="Green_city">#REF!</definedName>
    <definedName name="INDUSTRIEL">#REF!</definedName>
    <definedName name="Jacques_Serra">#REF!</definedName>
    <definedName name="LEALP_Architecture">#REF!</definedName>
    <definedName name="LOGO">INDIRECT(#REF!)</definedName>
    <definedName name="logo_bc">INDIRECT(#REF!)</definedName>
    <definedName name="LOGO_MOE">INDIRECT(#REF!)</definedName>
    <definedName name="MAIRIE">#REF!</definedName>
    <definedName name="Mairie_de__Cerberes">#REF!</definedName>
    <definedName name="Mairie_de_Baixas">#REF!</definedName>
    <definedName name="Mairie_de_Canet_en_roussillon">#REF!</definedName>
    <definedName name="Mairie_de_Canohes">#REF!</definedName>
    <definedName name="Mairie_de_Millas">#REF!</definedName>
    <definedName name="Mairie_de_Reynes">#REF!</definedName>
    <definedName name="Mairie_de_Rivesaltes">#REF!</definedName>
    <definedName name="Mairie_de_St_Esteves">#REF!</definedName>
    <definedName name="Mairie_de_Villemolaque">#REF!</definedName>
    <definedName name="Manuel_Branco">#REF!</definedName>
    <definedName name="Marcel_Foinneau">#REF!</definedName>
    <definedName name="Marcou_Habitat">#REF!</definedName>
    <definedName name="MRB">#REF!</definedName>
    <definedName name="OFFICE_66">#REF!</definedName>
    <definedName name="Olivier_Bertoli">#REF!</definedName>
    <definedName name="photo">INDIRECT(#REF!)</definedName>
    <definedName name="PROMOTEUR">#REF!</definedName>
    <definedName name="Pyrénnée_oriental_amenagement">#REF!</definedName>
    <definedName name="RESIDENTIEL">#REF!</definedName>
    <definedName name="Ruiz_Architecture">#REF!</definedName>
    <definedName name="SCCV_157_GABRIEL">#REF!</definedName>
    <definedName name="SOCOTEC">#REF!</definedName>
    <definedName name="Stephanie_Deyris_Moutte_EI">#REF!</definedName>
    <definedName name="_xlnm.Print_Area" localSheetId="0">'DPGF LOT N°---'!$A$1:$H$1284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49" i="45" l="1"/>
  <c r="E545" i="45"/>
  <c r="E529" i="45"/>
  <c r="E533" i="45"/>
  <c r="E370" i="45"/>
  <c r="E369" i="45"/>
  <c r="E366" i="45"/>
  <c r="E365" i="45"/>
  <c r="E358" i="45"/>
  <c r="E357" i="45"/>
  <c r="E352" i="45"/>
  <c r="E349" i="45"/>
  <c r="E344" i="45"/>
  <c r="E340" i="45"/>
  <c r="E339" i="45"/>
  <c r="E332" i="45"/>
  <c r="E794" i="45"/>
  <c r="E601" i="45"/>
  <c r="E362" i="45"/>
  <c r="E361" i="45"/>
  <c r="E336" i="45"/>
  <c r="E335" i="45"/>
  <c r="E331" i="45"/>
  <c r="E300" i="45"/>
  <c r="A5" i="45"/>
  <c r="A6" i="45" s="1"/>
  <c r="E374" i="45" l="1"/>
  <c r="C1263" i="45"/>
  <c r="C1262" i="45"/>
  <c r="C1261" i="45"/>
  <c r="C1260" i="45"/>
  <c r="G1263" i="45" l="1"/>
  <c r="A1263" i="45"/>
  <c r="A1262" i="45"/>
  <c r="A1261" i="45"/>
  <c r="A1260" i="45"/>
  <c r="A1017" i="45"/>
  <c r="A1043" i="45" s="1"/>
  <c r="A1069" i="45" s="1"/>
  <c r="A778" i="45"/>
  <c r="A525" i="45"/>
  <c r="A526" i="45" s="1"/>
  <c r="A542" i="45" s="1"/>
  <c r="A553" i="45" s="1"/>
  <c r="A558" i="45" s="1"/>
  <c r="A563" i="45" s="1"/>
  <c r="A242" i="45"/>
  <c r="A243" i="45" s="1"/>
  <c r="A248" i="45" s="1"/>
  <c r="A253" i="45" s="1"/>
  <c r="A258" i="45" s="1"/>
  <c r="A263" i="45" s="1"/>
  <c r="A1018" i="45" l="1"/>
  <c r="A1023" i="45" s="1"/>
  <c r="A1028" i="45" s="1"/>
  <c r="A1033" i="45" s="1"/>
  <c r="A1038" i="45" s="1"/>
  <c r="A779" i="45"/>
  <c r="A785" i="45" s="1"/>
  <c r="A790" i="45" s="1"/>
  <c r="A797" i="45" s="1"/>
  <c r="A802" i="45" s="1"/>
  <c r="A807" i="45"/>
  <c r="A1070" i="45"/>
  <c r="A1075" i="45" s="1"/>
  <c r="A1080" i="45" s="1"/>
  <c r="A1085" i="45" s="1"/>
  <c r="A1090" i="45" s="1"/>
  <c r="A1095" i="45"/>
  <c r="A1044" i="45"/>
  <c r="A1049" i="45" s="1"/>
  <c r="A1054" i="45" s="1"/>
  <c r="A1059" i="45" s="1"/>
  <c r="A1064" i="45" s="1"/>
  <c r="A568" i="45"/>
  <c r="A268" i="45"/>
  <c r="A297" i="45" s="1"/>
  <c r="A1096" i="45" l="1"/>
  <c r="A1101" i="45" s="1"/>
  <c r="A1106" i="45" s="1"/>
  <c r="A1111" i="45" s="1"/>
  <c r="A1116" i="45" s="1"/>
  <c r="A1121" i="45"/>
  <c r="A833" i="45"/>
  <c r="A808" i="45"/>
  <c r="A813" i="45" s="1"/>
  <c r="A818" i="45" s="1"/>
  <c r="A823" i="45" s="1"/>
  <c r="A828" i="45" s="1"/>
  <c r="A594" i="45"/>
  <c r="A574" i="45"/>
  <c r="A579" i="45" s="1"/>
  <c r="A584" i="45" s="1"/>
  <c r="A589" i="45" s="1"/>
  <c r="A269" i="45"/>
  <c r="A273" i="45" s="1"/>
  <c r="A282" i="45" s="1"/>
  <c r="A287" i="45" s="1"/>
  <c r="A292" i="45" s="1"/>
  <c r="A323" i="45"/>
  <c r="A298" i="45"/>
  <c r="A303" i="45" s="1"/>
  <c r="A308" i="45" s="1"/>
  <c r="A313" i="45" s="1"/>
  <c r="A318" i="45" s="1"/>
  <c r="C1259" i="45"/>
  <c r="A1259" i="45"/>
  <c r="G1254" i="45"/>
  <c r="A1147" i="45" l="1"/>
  <c r="A1122" i="45"/>
  <c r="A1127" i="45" s="1"/>
  <c r="A1132" i="45" s="1"/>
  <c r="A1137" i="45" s="1"/>
  <c r="A1142" i="45" s="1"/>
  <c r="A859" i="45"/>
  <c r="A834" i="45"/>
  <c r="A839" i="45" s="1"/>
  <c r="A844" i="45" s="1"/>
  <c r="A849" i="45" s="1"/>
  <c r="A854" i="45" s="1"/>
  <c r="A605" i="45"/>
  <c r="A610" i="45" s="1"/>
  <c r="A615" i="45" s="1"/>
  <c r="A620" i="45"/>
  <c r="A324" i="45"/>
  <c r="A347" i="45" s="1"/>
  <c r="A378" i="45" s="1"/>
  <c r="A383" i="45" s="1"/>
  <c r="A388" i="45" s="1"/>
  <c r="A393" i="45"/>
  <c r="A1173" i="45" l="1"/>
  <c r="A1148" i="45"/>
  <c r="A1153" i="45" s="1"/>
  <c r="A1158" i="45" s="1"/>
  <c r="A1163" i="45" s="1"/>
  <c r="A1168" i="45" s="1"/>
  <c r="A885" i="45"/>
  <c r="A860" i="45"/>
  <c r="A865" i="45" s="1"/>
  <c r="A870" i="45" s="1"/>
  <c r="A875" i="45" s="1"/>
  <c r="A880" i="45" s="1"/>
  <c r="A646" i="45"/>
  <c r="A626" i="45"/>
  <c r="A631" i="45" s="1"/>
  <c r="A636" i="45" s="1"/>
  <c r="A641" i="45" s="1"/>
  <c r="A419" i="45"/>
  <c r="A394" i="45"/>
  <c r="A399" i="45" s="1"/>
  <c r="A404" i="45" s="1"/>
  <c r="A409" i="45" s="1"/>
  <c r="A414" i="45" s="1"/>
  <c r="A886" i="45" l="1"/>
  <c r="A891" i="45" s="1"/>
  <c r="A896" i="45" s="1"/>
  <c r="A901" i="45" s="1"/>
  <c r="A906" i="45" s="1"/>
  <c r="A911" i="45"/>
  <c r="A1174" i="45"/>
  <c r="A1179" i="45" s="1"/>
  <c r="A1184" i="45" s="1"/>
  <c r="A1189" i="45" s="1"/>
  <c r="A1194" i="45" s="1"/>
  <c r="A1199" i="45"/>
  <c r="A672" i="45"/>
  <c r="A652" i="45"/>
  <c r="A657" i="45" s="1"/>
  <c r="A662" i="45" s="1"/>
  <c r="A667" i="45" s="1"/>
  <c r="A445" i="45"/>
  <c r="A420" i="45"/>
  <c r="A425" i="45" s="1"/>
  <c r="A430" i="45" s="1"/>
  <c r="A435" i="45" s="1"/>
  <c r="A440" i="45" s="1"/>
  <c r="A937" i="45" l="1"/>
  <c r="A912" i="45"/>
  <c r="A917" i="45" s="1"/>
  <c r="A922" i="45" s="1"/>
  <c r="A927" i="45" s="1"/>
  <c r="A932" i="45" s="1"/>
  <c r="A1225" i="45"/>
  <c r="A1226" i="45" s="1"/>
  <c r="A1231" i="45" s="1"/>
  <c r="A1236" i="45" s="1"/>
  <c r="A1241" i="45" s="1"/>
  <c r="A1246" i="45" s="1"/>
  <c r="A1200" i="45"/>
  <c r="A1205" i="45" s="1"/>
  <c r="A1210" i="45" s="1"/>
  <c r="A1215" i="45" s="1"/>
  <c r="A1220" i="45" s="1"/>
  <c r="A698" i="45"/>
  <c r="A673" i="45"/>
  <c r="A678" i="45" s="1"/>
  <c r="A683" i="45" s="1"/>
  <c r="A688" i="45" s="1"/>
  <c r="A693" i="45" s="1"/>
  <c r="A471" i="45"/>
  <c r="A446" i="45"/>
  <c r="A451" i="45" s="1"/>
  <c r="A456" i="45" s="1"/>
  <c r="A461" i="45" s="1"/>
  <c r="A466" i="45" s="1"/>
  <c r="A938" i="45" l="1"/>
  <c r="A943" i="45" s="1"/>
  <c r="A948" i="45" s="1"/>
  <c r="A953" i="45" s="1"/>
  <c r="A958" i="45" s="1"/>
  <c r="A963" i="45"/>
  <c r="A724" i="45"/>
  <c r="A699" i="45"/>
  <c r="A704" i="45" s="1"/>
  <c r="A709" i="45" s="1"/>
  <c r="A714" i="45" s="1"/>
  <c r="A719" i="45" s="1"/>
  <c r="A497" i="45"/>
  <c r="A498" i="45" s="1"/>
  <c r="A503" i="45" s="1"/>
  <c r="A508" i="45" s="1"/>
  <c r="A513" i="45" s="1"/>
  <c r="A518" i="45" s="1"/>
  <c r="A472" i="45"/>
  <c r="A477" i="45" s="1"/>
  <c r="A482" i="45" s="1"/>
  <c r="A487" i="45" s="1"/>
  <c r="A492" i="45" s="1"/>
  <c r="A989" i="45" l="1"/>
  <c r="A990" i="45" s="1"/>
  <c r="A995" i="45" s="1"/>
  <c r="A1000" i="45" s="1"/>
  <c r="A1005" i="45" s="1"/>
  <c r="A1010" i="45" s="1"/>
  <c r="A964" i="45"/>
  <c r="A969" i="45" s="1"/>
  <c r="A974" i="45" s="1"/>
  <c r="A979" i="45" s="1"/>
  <c r="A984" i="45" s="1"/>
  <c r="A750" i="45"/>
  <c r="A751" i="45" s="1"/>
  <c r="A756" i="45" s="1"/>
  <c r="A761" i="45" s="1"/>
  <c r="A766" i="45" s="1"/>
  <c r="A771" i="45" s="1"/>
  <c r="A725" i="45"/>
  <c r="A730" i="45" s="1"/>
  <c r="A735" i="45" s="1"/>
  <c r="A740" i="45" s="1"/>
  <c r="A745" i="45" s="1"/>
  <c r="A1254" i="45" l="1"/>
  <c r="H1254" i="45"/>
  <c r="G1264" i="45" l="1"/>
  <c r="G1265" i="45" s="1"/>
  <c r="G1266" i="45" s="1"/>
  <c r="A31" i="45"/>
  <c r="A57" i="45" l="1"/>
  <c r="A32" i="45"/>
  <c r="A37" i="45" s="1"/>
  <c r="A42" i="45" s="1"/>
  <c r="A47" i="45" s="1"/>
  <c r="A52" i="45" s="1"/>
  <c r="A58" i="45" l="1"/>
  <c r="A63" i="45" s="1"/>
  <c r="A68" i="45" s="1"/>
  <c r="A73" i="45" s="1"/>
  <c r="A78" i="45" s="1"/>
  <c r="A83" i="45"/>
  <c r="A84" i="45" l="1"/>
  <c r="A89" i="45" s="1"/>
  <c r="A94" i="45" s="1"/>
  <c r="A99" i="45" s="1"/>
  <c r="A104" i="45" s="1"/>
  <c r="A109" i="45"/>
  <c r="A110" i="45" l="1"/>
  <c r="A115" i="45" s="1"/>
  <c r="A120" i="45" s="1"/>
  <c r="A125" i="45" s="1"/>
  <c r="A130" i="45" s="1"/>
  <c r="A135" i="45"/>
  <c r="A136" i="45" l="1"/>
  <c r="A141" i="45" s="1"/>
  <c r="A146" i="45" s="1"/>
  <c r="A151" i="45" s="1"/>
  <c r="A156" i="45" s="1"/>
  <c r="A161" i="45"/>
  <c r="A162" i="45" l="1"/>
  <c r="A167" i="45" s="1"/>
  <c r="A172" i="45" s="1"/>
  <c r="A177" i="45" s="1"/>
  <c r="A182" i="45" s="1"/>
  <c r="A187" i="45"/>
  <c r="A188" i="45" l="1"/>
  <c r="A193" i="45" s="1"/>
  <c r="A198" i="45" s="1"/>
  <c r="A203" i="45" s="1"/>
  <c r="A208" i="45" s="1"/>
  <c r="A213" i="45"/>
  <c r="A214" i="45" s="1"/>
  <c r="A219" i="45" s="1"/>
  <c r="A224" i="45" s="1"/>
  <c r="A229" i="45" s="1"/>
  <c r="A234" i="45" s="1"/>
  <c r="A11" i="45" l="1"/>
  <c r="A16" i="45" s="1"/>
  <c r="A21" i="45" s="1"/>
  <c r="A26" i="45" s="1"/>
</calcChain>
</file>

<file path=xl/sharedStrings.xml><?xml version="1.0" encoding="utf-8"?>
<sst xmlns="http://schemas.openxmlformats.org/spreadsheetml/2006/main" count="236" uniqueCount="135">
  <si>
    <t>Description</t>
  </si>
  <si>
    <t>Totaux</t>
  </si>
  <si>
    <t>Poste</t>
  </si>
  <si>
    <t>Montant H.T.</t>
  </si>
  <si>
    <t>TOTAL T.T.C.</t>
  </si>
  <si>
    <t>RECAPITULATIF GENERAL</t>
  </si>
  <si>
    <t>TVA 20%.</t>
  </si>
  <si>
    <t>NOTA :</t>
  </si>
  <si>
    <t>A</t>
  </si>
  <si>
    <t>L'Entreprise :</t>
  </si>
  <si>
    <t>Unités</t>
  </si>
  <si>
    <t>QBet</t>
  </si>
  <si>
    <t>Q Ent</t>
  </si>
  <si>
    <t>Prix Unitaires</t>
  </si>
  <si>
    <t>EUROS</t>
  </si>
  <si>
    <t>LE</t>
  </si>
  <si>
    <t>U</t>
  </si>
  <si>
    <t>Ens</t>
  </si>
  <si>
    <t>OPERATION :</t>
  </si>
  <si>
    <t>CH</t>
  </si>
  <si>
    <t>Les dimensions sont données à titre indicatives. Les cotes finales seront prises par l'entrepreneur qui devra proposer l'ensemble des détails au maître d'œuvre</t>
  </si>
  <si>
    <t>Le quantitatif est fourni à titre indicatif, ce n'est pas une pièce contractuelle. A ce titre l'entrepreneur ne pourra se prévaloir d'une quelconque imprécision et/ou d'un oubli pour refuser de réaliser tout ou partie d'ouvrage.</t>
  </si>
  <si>
    <t>TOTAL CHAPITRE 1</t>
  </si>
  <si>
    <t>TOTAL CHAPITRE 2</t>
  </si>
  <si>
    <t>TOTAL CHAPITRE 3</t>
  </si>
  <si>
    <t>TOTAL CHAPITRE 4</t>
  </si>
  <si>
    <t>TOTAL CHAPITRE 5</t>
  </si>
  <si>
    <t>Le présent cadre de bordereau estimatif est donné à titre indicatif et il n'est pas limitatif et contractuel. L'entrepreneur doit, tous les éléments éventuels complémentaires à ce bordereau, afin qu'il contienne, tous les travaux relatifs à l'exécution, suivant les règles de l'art de son lot.</t>
  </si>
  <si>
    <t>TOUTES LES ENTREPRISES DEVRONT IMPERATIVEMENT RESPECTER LA QUALITE DE MATERIEL DEMANDE.</t>
  </si>
  <si>
    <t>LES ENTREPRISES NE REPONDANT PAS AVEC LA MARQUE DU MATERIEL  DEMANDE DEVRONT OBLIGATOIREMENT JOINDRE A LEUR OFFRE  LES DOCUMENTS TECHNIQUES DU MATERIEL PROPOSE. TOUTE OFFRE INCOMPLETE OU NE RESPECTANT PAS LES CRITERES DE QUALITE DEMANDES NE SERA PAS PRISE EN CONSIDERATION.</t>
  </si>
  <si>
    <t>SCCV GRANDE TERRE</t>
  </si>
  <si>
    <t>GENERALITES</t>
  </si>
  <si>
    <t>Etudes d'exécution, DOE et ensemble des documents nécessaires à la bonne réalisation de l'opération. Pour mémoire, inclus dans les autres postes.</t>
  </si>
  <si>
    <t xml:space="preserve">PLOMBERIE </t>
  </si>
  <si>
    <t>INSTALLATION DE CHANTIER</t>
  </si>
  <si>
    <t>DISTRIBUTION</t>
  </si>
  <si>
    <t>EVACUATIONS</t>
  </si>
  <si>
    <t>EQUIPEMENTS SANITAIRES</t>
  </si>
  <si>
    <t>Mise en place d'une attente compteur de chantier à partir de l’attente EF à la charge du VRD, équipée d’un robinet d’arrêt 1/2" avec nez fileté selon les besoins et en coordination avec les différents lots.</t>
  </si>
  <si>
    <t>Mise en service et essai:</t>
  </si>
  <si>
    <t>Distribution:</t>
  </si>
  <si>
    <t>Origine AEP:</t>
  </si>
  <si>
    <t>Désinfection des réseaux, mise en service, essais et rapports</t>
  </si>
  <si>
    <t>Panoplie AEP composée d’un robinet de barrage général, un clapet anti-retour à zone de pression contrôlable, un filtre, un manomètre, un robinet de prélèvement, une canne d’injection.</t>
  </si>
  <si>
    <t>Régulateur / limiteur de pression si la pression est supérieure à 3 bars.</t>
  </si>
  <si>
    <t>Collecteurs eau froide sanitaire  avec vannes d'arrêt en entrée et en sortie pour chaque départ pour le raccordement des appareils sanitaires</t>
  </si>
  <si>
    <t>Distribution tous diamètres eau froide sanitaire
-Multicouche
-PER
-Cuivre ou multicouche en apparent
Calorifuge pour réseau passant dans des locaux non chauffés</t>
  </si>
  <si>
    <t>Collecteurs eau chaude sanitaire  avec vannes d'arrêt en entrée et en sortie pour chaque départ pour le raccordement des appareils sanitaires</t>
  </si>
  <si>
    <t>Distribution tous diamètres eau chaude sanitaire
-Multicouche
-PER
-Cuivre ou multicouche en apparent
Calorifuge pour réseau passant dans des locaux non chauffés</t>
  </si>
  <si>
    <t>Evacuations eaux usées et eaux vannes:</t>
  </si>
  <si>
    <t>Collecteurs et raccordement des appareils sanitaires, en PVC évacuation vers le regard VRD extérieur.
Tous diamètres.
Tranchée lit de sable et grillage avertisseur hors lot.
Y-compris accessoires, tés de visite,  éléments acoustiques et toutes sujétions de pose.</t>
  </si>
  <si>
    <t>CHAUFFAGE RAFRAICHISSEMENT</t>
  </si>
  <si>
    <t>VENTILATION</t>
  </si>
  <si>
    <t>EQUIPEMENTS</t>
  </si>
  <si>
    <t>Extracteur:</t>
  </si>
  <si>
    <t>Réseaux aérauliques:</t>
  </si>
  <si>
    <t>Terminaux:</t>
  </si>
  <si>
    <t>NOTES DE CALCUL / MISE EN SERVICE</t>
  </si>
  <si>
    <t>Note de calcul de dimensionnement des installations de ventilation mécanique contrôlée.
Mise en service et réglage des équipements.</t>
  </si>
  <si>
    <t>Bouches d'extraction</t>
  </si>
  <si>
    <t>Entrées d'air</t>
  </si>
  <si>
    <t>Raccordements électrique sur câble laissé par le lot électricité.</t>
  </si>
  <si>
    <t>Fourniture et pose de ventilateur de marque Atlantic type HYGROCOSY BC FLEX +  ou équivalent, y compris supportages, accessoires et toutes sujétions de pose</t>
  </si>
  <si>
    <t>Sorties en toiture:</t>
  </si>
  <si>
    <t>Fourniture d'entrées d'air hygroréglables de marque Atlantic type EH ou techniquement équivalent (pose à la charge du lot menuiserie)</t>
  </si>
  <si>
    <t>Fourniture des sorties en toiture de marque Atlantic type CPR ou équivalent, au lot Couvreur qui en ferala pose.</t>
  </si>
  <si>
    <t>SYSTÈME TRIPLE C</t>
  </si>
  <si>
    <t>Equipements pour les villas de 1 à 16:</t>
  </si>
  <si>
    <t>Equipements pour les villas 17 et 18:</t>
  </si>
  <si>
    <t>Unités extérieures</t>
  </si>
  <si>
    <t>Unités intérieures</t>
  </si>
  <si>
    <t>Production ECS</t>
  </si>
  <si>
    <t>Fourniture et pose d'un ballon thermodynamique de marque Hitachi type TAW-270RHD ou équivalent, y compris raccordement, groupe de sécurité, vidange, accessoires et toutes sujétions de poses.</t>
  </si>
  <si>
    <t>Fourniture et pose d'un ballon thermodynamique de marque Hitachi type TAW-190RHD ou équivalent, y compris raccordement, groupe de sécurité, vidange, accessoires et toutes sujétions de poses.</t>
  </si>
  <si>
    <t>CIRCUIT FRIGORIFIQUE</t>
  </si>
  <si>
    <t>CIRCUIT ELECTRIQUE</t>
  </si>
  <si>
    <t>CONDENSATS</t>
  </si>
  <si>
    <t>MISE EN ŒUVRE ET GARANTIES</t>
  </si>
  <si>
    <t>Mise en service et visite de mise au point.</t>
  </si>
  <si>
    <t>Evacuation des condensats en tube PVC M1 NF Ø32 avec siphons de parcours secs, calorifugée sur les premiers mètres, cheminement horizontalement puis raccordement sur les canalisations situées à proximité des unités, y compris pompe de relevage si nécessaire, accessoires et toues sujétions de pose.</t>
  </si>
  <si>
    <t xml:space="preserve">Circuit interconnexion </t>
  </si>
  <si>
    <t>Circuit électrique</t>
  </si>
  <si>
    <t>Raccordement électrique du ballon ECS sur attentes laissées par le lot Electricité</t>
  </si>
  <si>
    <t>Raccordement électrique de l'unité extérieure sur attentes laissées par le lot Electricité</t>
  </si>
  <si>
    <t>Un câble d'interconnexion assurera la communication entre le groupe extérieur et le ballon ECS, y compris toutes sujétions.</t>
  </si>
  <si>
    <t>Un câble d'interconnexion assurera la communication entre le groupe extérieur et l'unité intérieure, y compris toutes sujétions.</t>
  </si>
  <si>
    <t>Raccordement entre les groupes extérieurs, intérieurs et ballons, cuivre déshydraté qualité frigorifique isolé.
Y-compris goulotte métallique extérieure, accessoires et toutes sujétions de pose.
Tous diamètres suivant dimensionnement constructeur.</t>
  </si>
  <si>
    <t>Fourniture et pose de thermostat filaire de marque Hitachi type SPX-URFG ou équivalent, y compris fixation, raccordement, accessoires et toutes sujétions de poses.</t>
  </si>
  <si>
    <t>Fourniture et pose d'une unité intérieure de marque Hitachi type RAK-DJ35RHAE ou équivalent, y compris  raccordement, fixations, accessoires et toutes sujétions de poses.</t>
  </si>
  <si>
    <t>Fourniture et pose d'une unité intérieure de marque Hitachi type RAK-DJ18RHAE ou équivalent, y compris  raccordement, fixations, accessoires et toutes sujétions de poses.</t>
  </si>
  <si>
    <t>Fourniture et pose d'une unité intérieure de marque Hitachi type RAK-DJ25RHAE ou équivalent, y compris  raccordement, fixations, accessoires et toutes sujétions de poses.</t>
  </si>
  <si>
    <t>Fourniture et pose d'un pack WC à poser de marque Sensea type WC EASY, ou équivalent, y compris fixations, raccordements, accessoires et toutes sujétions de poses.</t>
  </si>
  <si>
    <t>Fourniture et pose d'un mitigeur de lavabo de marque JACOB DELAFON, type Brive E75760-4 ou équivalent, y compris raccordement, accessoires et toutes sujétions de poses.</t>
  </si>
  <si>
    <t>Cuisine</t>
  </si>
  <si>
    <t>Baignoire</t>
  </si>
  <si>
    <t>Fourniture et pose d'une baignoire de marque ROCA type CONTENSA ou équivalent, y compris plaque d'insonorisation, système de vidage, bouchon et chainette, accessoires et toutes sujétions de poses.</t>
  </si>
  <si>
    <t>Fourniture et pose d'un mitigeur bain douche de marque JACOB DELAFON modèle BRIVE E75766-CP ou équivalent, y compris raccordement, accessoires et toutes sujétions de poses.</t>
  </si>
  <si>
    <t>Fourniture et pose d'un ensemble de barre de douche de marque NICOLL modèle LISA 0342166 ou équivalent, y compris fixations, accessoires et toutes sujétions de poses.</t>
  </si>
  <si>
    <t>Receveur de douche</t>
  </si>
  <si>
    <t>Fourniture et pose d'un receveur de douche de marque JACOB DELAFON modèle FLIGHT 90x90cm ou équivalent, y compris raccordement, bonde, fixations, accessoires et toues sujétions.</t>
  </si>
  <si>
    <t>Fourniture et pose d'un mitigeur de douche de marque JACOB DELAFON modèle BRIVE ou équivalent, y compris raccordement, accessoires et toutes sujétions de poses.</t>
  </si>
  <si>
    <t>Meubles SDB</t>
  </si>
  <si>
    <t>Fourniture et pose d'un meuble simple vasque de marque SENSEA type REMIX 60x46cm pour sdb avec baignoire ou équivalent, y compris raccordement, fixations, bonde, siphon, accessoires et toutes sujétions de poses.</t>
  </si>
  <si>
    <t>Fourniture et pose d'un miroir de marque PORCHER type E3210 ou équivalent, y compris fixations, lumière LED PORCHER ou équivalent, accessoires et toutes sujétions de poses.</t>
  </si>
  <si>
    <t>Attentes laves-vaisselles / lave-linge</t>
  </si>
  <si>
    <t>Sortie de cloisons</t>
  </si>
  <si>
    <t>Robinet de puisage</t>
  </si>
  <si>
    <t>Fourniture et pose d'attente LV/LL de type robifix, y compris accessoires et toutes sujétions de pose.</t>
  </si>
  <si>
    <t>Fourniture et pose de sortie de cloisons double / simple de type robifix, y compris accessoires et toutes sujétions de pose.</t>
  </si>
  <si>
    <t>Fourniture et pose d'un robinet de puisage, y compris fixation, raccordement, accessoires et toutes sujétions de pose.</t>
  </si>
  <si>
    <t>WC sur pied</t>
  </si>
  <si>
    <t>Douche à carreler</t>
  </si>
  <si>
    <t>Fourniture et pose d'un meuble simple vasque de marque SENSEA type REMIX 60x46cm pour sdb avec receveur ou équivalent, y compris raccordement, fixations, bonde, siphon, accessoires et toutes sujétions de poses.</t>
  </si>
  <si>
    <t>Tuyauterie ventilation primaire, raccordement sur sortie toiture y compris accessoires et toutes sujétions de pose.
Sortie toiture hors lot.</t>
  </si>
  <si>
    <t>PB CVC</t>
  </si>
  <si>
    <t>Lot</t>
  </si>
  <si>
    <t>L'ensemble du projet est assujetti à la Réglementation Thermique en vigueur.
L'ensemble des travaux devront être réalisés avec soin afin d'assurer un esthétisme général du projet.
Un soin particulier devra être apporté aux éléments et accessoires visibles pour lesquels il sera demandé une finition chromée. (Siphon, robinet avec rosaces, ...)
Toujours dans un souhait d'esthétique, aucun rétube ne devra être apparent. Le raccordement final des appareils sera réalisé par flexibles inox tressé jusqu'à une attente murale avec rosace chromée.</t>
  </si>
  <si>
    <t>Raccordement depuis regard VRD y compris vanne d'isolement, accessoires et toutes sujétions de pose.
Liaison PE 80 bande bleue Ø25 depuis regard extérieur vers panoplie du logement.</t>
  </si>
  <si>
    <t>Ø80 pour les autres pièces</t>
  </si>
  <si>
    <t>Ø125 pour la cuisine</t>
  </si>
  <si>
    <t>Ø160 pour le rejet en toiture</t>
  </si>
  <si>
    <t>Boutons poussoirs pour double débit cuisine
Raccordements boutons - bouches dus au présent lot.
Y-compris supportages, accessoires et toutes sujétions de poses.</t>
  </si>
  <si>
    <t>Fourniture et pose de bouches d'extraction hygroreglables de marque atlantic  ou techniquement équivalent. Y-compris raccordements électriques sur attentes laissées par le lot électricité.
Y-compris supportages, accessoires et toutes sujétions de pose.</t>
  </si>
  <si>
    <t>Appareils sanitaires villas en accession à prix maitrisés (villas 2, 4, 7, 8, 10 &amp; 12)</t>
  </si>
  <si>
    <t>Fourniture et pose d'attentes eau froide et eau chaude sanitaire de type robifix, y compris accessoires et toutes sujétions de pose.</t>
  </si>
  <si>
    <t>Appareils sanitaires villas en accession libre (villas 1, 3, 5, 6, 9, 11, 13, 14, 15, 16, 17 &amp; 18)</t>
  </si>
  <si>
    <t>Fourniture et pose d'un ensemble cuvette de WC suspendu en céramique avec réservoir attenant de marque SENSEA, type ESSENTIAL ou équivalent, y-compris fixations, raccordements, accessoires et toutes sujétions de pose.</t>
  </si>
  <si>
    <t>Fourniture et pose d'un lave-mains de marque JACOB DELAFON type
ODEON UP E4759G ou équivalent, y-compris fixations, raccordements, accessoires et toutes sujétions de pose.</t>
  </si>
  <si>
    <t>Fourniture et pose d'un mitigeur de marque JACOB DELAFON type
BRIVE E75760-4 ou équivalent, y-compris fixations, raccordements, accessoires et toutes sujétions de pose.</t>
  </si>
  <si>
    <t xml:space="preserve">Fourniture et pose d’un siphon de douche de marque NICOLL, type 
DOCIA-XS ou équivalent, y-compris accessoires et toutes sujétions de pose.  Etanchéité hors lot. </t>
  </si>
  <si>
    <t>Fourniture et pose d'un mitigeur de douche de marque JACOB DELAFON modèle BRIVE E75765 ou équivalent, y compris raccordement, accessoires et toutes sujétions de poses.</t>
  </si>
  <si>
    <t>Fourniture et pose d'un cacge-clim à persiennes en métal laqué.Coloris au choix de l’architecte. 
Passage  d’air  en  adéquation  avec  les  débits  nécessaires  au  bon 
fonctionnement des unités extérieures. 
Y-compris accessoires, fixations et toutes sujétions de pose.</t>
  </si>
  <si>
    <t>Fourniture et pose d'une unité extérieure de marque Hitachi type RAM-Y70N4HAE ou équivalent, y compris raccordement, supportages, accessoires et toutes sujétions de poses.</t>
  </si>
  <si>
    <t>Fourniture et pose d'une unité extérieure de marque Hitachi type RAM-Y85N5HAE ou équivalent, y compris raccordement, supportages, accessoires et toutes sujétions de poses.</t>
  </si>
  <si>
    <t>Fourniture et pose d'un set de douche de marque Jacob Delafon ou équivalent, type BASIC 110, référence E31179, comprenant douchette, support  et flexible, y compris accessoires et toutes sujétions de pose.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</si>
</sst>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0.00\ &quot;€&quot;_-;\-* #,##0.00\ &quot;€&quot;_-;_-* &quot;-&quot;??\ &quot;€&quot;_-;_-@_-"/>
    <numFmt numFmtId="164" formatCode="_-* #,##0.00\ _€_-;\-* #,##0.00\ _€_-;_-* &quot;-&quot;??\ _€_-;_-@_-"/>
    <numFmt numFmtId="165" formatCode="_([$€]* #,##0.00_);_([$€]* \(#,##0.00\);_([$€]* &quot;-&quot;??_);_(@_)"/>
    <numFmt numFmtId="167" formatCode="_-* #,##0.00\ [$€-1]_-;\-* #,##0.00\ [$€-1]_-;_-* &quot;-&quot;??\ [$€-1]_-;_-@_-"/>
    <numFmt numFmtId="170" formatCode="#,##0.00\ _€"/>
  </numFmts>
  <fonts count="28"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sz val="10"/>
      <name val="Helv"/>
    </font>
    <font>
      <sz val="10"/>
      <name val="Times New Roman"/>
      <family val="1"/>
    </font>
    <font>
      <b/>
      <sz val="10"/>
      <name val="Times New Roman"/>
      <family val="1"/>
    </font>
    <font>
      <b/>
      <i/>
      <sz val="10"/>
      <name val="Times New Roman"/>
      <family val="1"/>
    </font>
    <font>
      <b/>
      <sz val="8"/>
      <name val="Helv"/>
    </font>
    <font>
      <sz val="9"/>
      <name val="Calibri"/>
      <family val="2"/>
      <scheme val="minor"/>
    </font>
    <font>
      <sz val="8"/>
      <name val="Arial"/>
      <family val="2"/>
    </font>
    <font>
      <b/>
      <sz val="9"/>
      <color rgb="FF141516"/>
      <name val="Calibri"/>
      <family val="2"/>
      <scheme val="minor"/>
    </font>
    <font>
      <sz val="9"/>
      <color rgb="FF0A0A0C"/>
      <name val="Calibri"/>
      <family val="2"/>
      <scheme val="minor"/>
    </font>
    <font>
      <b/>
      <sz val="9"/>
      <name val="Calibri"/>
      <family val="2"/>
      <scheme val="minor"/>
    </font>
    <font>
      <b/>
      <sz val="9"/>
      <color rgb="FF000003"/>
      <name val="Calibri"/>
      <family val="2"/>
      <scheme val="minor"/>
    </font>
    <font>
      <i/>
      <sz val="9"/>
      <name val="Calibri"/>
      <family val="2"/>
      <scheme val="minor"/>
    </font>
    <font>
      <b/>
      <sz val="8"/>
      <color rgb="FF000003"/>
      <name val="Calibri"/>
      <family val="2"/>
      <scheme val="minor"/>
    </font>
    <font>
      <b/>
      <sz val="8"/>
      <name val="Calibri"/>
      <family val="2"/>
      <scheme val="minor"/>
    </font>
    <font>
      <sz val="8"/>
      <name val="Calibri"/>
      <family val="2"/>
      <scheme val="minor"/>
    </font>
    <font>
      <u/>
      <sz val="10"/>
      <color theme="10"/>
      <name val="Arial"/>
      <family val="2"/>
    </font>
    <font>
      <sz val="8"/>
      <color rgb="FF0A0A0C"/>
      <name val="Calibri"/>
      <family val="2"/>
      <scheme val="minor"/>
    </font>
    <font>
      <b/>
      <u/>
      <sz val="8"/>
      <name val="Calibri"/>
      <family val="2"/>
      <scheme val="minor"/>
    </font>
    <font>
      <b/>
      <u/>
      <sz val="9"/>
      <name val="Calibri"/>
      <family val="2"/>
      <scheme val="minor"/>
    </font>
  </fonts>
  <fills count="9">
    <fill>
      <patternFill patternType="none"/>
    </fill>
    <fill>
      <patternFill patternType="gray125"/>
    </fill>
    <fill>
      <patternFill patternType="solid">
        <fgColor theme="0"/>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FFF00"/>
        <bgColor indexed="64"/>
      </patternFill>
    </fill>
  </fills>
  <borders count="36">
    <border>
      <left/>
      <right/>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medium">
        <color indexed="64"/>
      </right>
      <top style="thin">
        <color auto="1"/>
      </top>
      <bottom style="thin">
        <color auto="1"/>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auto="1"/>
      </left>
      <right/>
      <top style="medium">
        <color indexed="64"/>
      </top>
      <bottom style="thin">
        <color auto="1"/>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auto="1"/>
      </right>
      <top style="thin">
        <color indexed="64"/>
      </top>
      <bottom style="medium">
        <color indexed="64"/>
      </bottom>
      <diagonal/>
    </border>
    <border>
      <left/>
      <right style="medium">
        <color indexed="64"/>
      </right>
      <top/>
      <bottom/>
      <diagonal/>
    </border>
    <border>
      <left/>
      <right style="thin">
        <color indexed="64"/>
      </right>
      <top style="medium">
        <color indexed="64"/>
      </top>
      <bottom/>
      <diagonal/>
    </border>
    <border>
      <left style="thin">
        <color indexed="64"/>
      </left>
      <right style="thin">
        <color indexed="64"/>
      </right>
      <top style="thin">
        <color theme="0" tint="-0.14999847407452621"/>
      </top>
      <bottom style="thin">
        <color theme="0" tint="-0.14999847407452621"/>
      </bottom>
      <diagonal/>
    </border>
  </borders>
  <cellStyleXfs count="584">
    <xf numFmtId="0" fontId="0" fillId="0" borderId="0"/>
    <xf numFmtId="0" fontId="7" fillId="0" borderId="0" applyNumberFormat="0" applyFill="0" applyBorder="0" applyAlignment="0" applyProtection="0"/>
    <xf numFmtId="165" fontId="8" fillId="0" borderId="0" applyFont="0" applyFill="0" applyBorder="0" applyAlignment="0" applyProtection="0"/>
    <xf numFmtId="0" fontId="9" fillId="0" borderId="0"/>
    <xf numFmtId="0" fontId="9"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6" fillId="0" borderId="0"/>
    <xf numFmtId="0" fontId="10" fillId="0" borderId="0">
      <alignment horizontal="left"/>
    </xf>
    <xf numFmtId="0" fontId="11" fillId="0" borderId="0">
      <alignment horizontal="left"/>
    </xf>
    <xf numFmtId="4" fontId="9" fillId="0" borderId="0" applyFont="0" applyFill="0" applyBorder="0" applyAlignment="0" applyProtection="0"/>
    <xf numFmtId="0" fontId="13" fillId="1" borderId="0">
      <alignment horizontal="center"/>
    </xf>
    <xf numFmtId="0" fontId="12" fillId="0" borderId="0">
      <alignment horizontal="right"/>
    </xf>
    <xf numFmtId="44" fontId="6" fillId="0" borderId="0" applyFont="0" applyFill="0" applyBorder="0" applyAlignment="0" applyProtection="0"/>
    <xf numFmtId="0" fontId="5" fillId="0" borderId="0"/>
    <xf numFmtId="0" fontId="4" fillId="0" borderId="0"/>
    <xf numFmtId="0" fontId="24" fillId="0" borderId="0" applyNumberFormat="0" applyFill="0" applyBorder="0" applyAlignment="0" applyProtection="0"/>
    <xf numFmtId="44" fontId="6" fillId="0" borderId="0" applyFont="0" applyFill="0" applyBorder="0" applyAlignment="0" applyProtection="0"/>
    <xf numFmtId="0" fontId="3" fillId="0" borderId="0"/>
    <xf numFmtId="0" fontId="3" fillId="0" borderId="0"/>
    <xf numFmtId="44" fontId="6" fillId="0" borderId="0" applyFont="0" applyFill="0" applyBorder="0" applyAlignment="0" applyProtection="0"/>
    <xf numFmtId="0" fontId="3" fillId="0" borderId="0"/>
    <xf numFmtId="0" fontId="3"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2" fillId="0" borderId="0"/>
    <xf numFmtId="44" fontId="6" fillId="0" borderId="0" applyFont="0" applyFill="0" applyBorder="0" applyAlignment="0" applyProtection="0"/>
    <xf numFmtId="0" fontId="2" fillId="0" borderId="0"/>
    <xf numFmtId="0" fontId="2" fillId="0" borderId="0"/>
    <xf numFmtId="0" fontId="2" fillId="0" borderId="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2" fillId="0" borderId="0"/>
    <xf numFmtId="0" fontId="2" fillId="0" borderId="0"/>
    <xf numFmtId="0" fontId="2" fillId="0" borderId="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0" fontId="2" fillId="0" borderId="0"/>
    <xf numFmtId="0" fontId="2" fillId="0" borderId="0"/>
    <xf numFmtId="0" fontId="2"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2" fillId="0" borderId="0"/>
    <xf numFmtId="44" fontId="6" fillId="0" borderId="0" applyFont="0" applyFill="0" applyBorder="0" applyAlignment="0" applyProtection="0"/>
    <xf numFmtId="0" fontId="2" fillId="0" borderId="0"/>
    <xf numFmtId="0" fontId="2" fillId="0" borderId="0"/>
    <xf numFmtId="0" fontId="2" fillId="0" borderId="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2" fillId="0" borderId="0"/>
    <xf numFmtId="0" fontId="2" fillId="0" borderId="0"/>
    <xf numFmtId="0" fontId="2" fillId="0" borderId="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0" fontId="2" fillId="0" borderId="0"/>
    <xf numFmtId="0" fontId="2" fillId="0" borderId="0"/>
    <xf numFmtId="0" fontId="2"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2" fillId="0" borderId="0"/>
    <xf numFmtId="0" fontId="2" fillId="0" borderId="0"/>
    <xf numFmtId="0" fontId="2" fillId="0" borderId="0"/>
    <xf numFmtId="0" fontId="2" fillId="0" borderId="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2" fillId="0" borderId="0"/>
    <xf numFmtId="0" fontId="2" fillId="0" borderId="0"/>
    <xf numFmtId="0" fontId="2" fillId="0" borderId="0"/>
    <xf numFmtId="0" fontId="2" fillId="0" borderId="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2" fillId="0" borderId="0"/>
    <xf numFmtId="0" fontId="2" fillId="0" borderId="0"/>
    <xf numFmtId="44" fontId="6" fillId="0" borderId="0" applyFont="0" applyFill="0" applyBorder="0" applyAlignment="0" applyProtection="0"/>
    <xf numFmtId="0" fontId="1" fillId="0" borderId="0"/>
    <xf numFmtId="0" fontId="1" fillId="0" borderId="0"/>
    <xf numFmtId="44" fontId="6" fillId="0" borderId="0" applyFont="0" applyFill="0" applyBorder="0" applyAlignment="0" applyProtection="0"/>
    <xf numFmtId="0" fontId="1" fillId="0" borderId="0"/>
    <xf numFmtId="0" fontId="1" fillId="0" borderId="0"/>
    <xf numFmtId="44" fontId="6" fillId="0" borderId="0" applyFont="0" applyFill="0" applyBorder="0" applyAlignment="0" applyProtection="0"/>
    <xf numFmtId="0" fontId="1" fillId="0" borderId="0"/>
    <xf numFmtId="0" fontId="1"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1" fillId="0" borderId="0"/>
    <xf numFmtId="0" fontId="1" fillId="0" borderId="0"/>
    <xf numFmtId="44" fontId="6" fillId="0" borderId="0" applyFont="0" applyFill="0" applyBorder="0" applyAlignment="0" applyProtection="0"/>
    <xf numFmtId="0" fontId="1" fillId="0" borderId="0"/>
    <xf numFmtId="0" fontId="1"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1" fillId="0" borderId="0"/>
    <xf numFmtId="0" fontId="1" fillId="0" borderId="0"/>
    <xf numFmtId="44" fontId="6" fillId="0" borderId="0" applyFont="0" applyFill="0" applyBorder="0" applyAlignment="0" applyProtection="0"/>
    <xf numFmtId="0" fontId="1" fillId="0" borderId="0"/>
    <xf numFmtId="0" fontId="1" fillId="0" borderId="0"/>
    <xf numFmtId="44" fontId="6" fillId="0" borderId="0" applyFont="0" applyFill="0" applyBorder="0" applyAlignment="0" applyProtection="0"/>
    <xf numFmtId="0" fontId="1" fillId="0" borderId="0"/>
    <xf numFmtId="0" fontId="1"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1" fillId="0" borderId="0"/>
    <xf numFmtId="44" fontId="6" fillId="0" borderId="0" applyFont="0" applyFill="0" applyBorder="0" applyAlignment="0" applyProtection="0"/>
    <xf numFmtId="0" fontId="1" fillId="0" borderId="0"/>
    <xf numFmtId="0" fontId="1" fillId="0" borderId="0"/>
    <xf numFmtId="0" fontId="1" fillId="0" borderId="0"/>
    <xf numFmtId="44" fontId="6" fillId="0" borderId="0" applyFont="0" applyFill="0" applyBorder="0" applyAlignment="0" applyProtection="0"/>
    <xf numFmtId="0" fontId="1" fillId="0" borderId="0"/>
    <xf numFmtId="0" fontId="1"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1" fillId="0" borderId="0"/>
    <xf numFmtId="0" fontId="1" fillId="0" borderId="0"/>
    <xf numFmtId="0" fontId="1" fillId="0" borderId="0"/>
    <xf numFmtId="44" fontId="6" fillId="0" borderId="0" applyFont="0" applyFill="0" applyBorder="0" applyAlignment="0" applyProtection="0"/>
    <xf numFmtId="0" fontId="1" fillId="0" borderId="0"/>
    <xf numFmtId="0" fontId="1" fillId="0" borderId="0"/>
    <xf numFmtId="44" fontId="6" fillId="0" borderId="0" applyFont="0" applyFill="0" applyBorder="0" applyAlignment="0" applyProtection="0"/>
    <xf numFmtId="0" fontId="1" fillId="0" borderId="0"/>
    <xf numFmtId="0" fontId="1" fillId="0" borderId="0"/>
    <xf numFmtId="44" fontId="6" fillId="0" borderId="0" applyFont="0" applyFill="0" applyBorder="0" applyAlignment="0" applyProtection="0"/>
    <xf numFmtId="0" fontId="1" fillId="0" borderId="0"/>
    <xf numFmtId="0" fontId="1" fillId="0" borderId="0"/>
    <xf numFmtId="0" fontId="1"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1" fillId="0" borderId="0"/>
    <xf numFmtId="0" fontId="1" fillId="0" borderId="0"/>
    <xf numFmtId="44" fontId="6" fillId="0" borderId="0" applyFont="0" applyFill="0" applyBorder="0" applyAlignment="0" applyProtection="0"/>
    <xf numFmtId="0" fontId="1" fillId="0" borderId="0"/>
    <xf numFmtId="0" fontId="1" fillId="0" borderId="0"/>
    <xf numFmtId="44" fontId="6" fillId="0" borderId="0" applyFont="0" applyFill="0" applyBorder="0" applyAlignment="0" applyProtection="0"/>
    <xf numFmtId="0" fontId="1" fillId="0" borderId="0"/>
    <xf numFmtId="0" fontId="1" fillId="0" borderId="0"/>
    <xf numFmtId="44" fontId="6" fillId="0" borderId="0" applyFont="0" applyFill="0" applyBorder="0" applyAlignment="0" applyProtection="0"/>
    <xf numFmtId="0" fontId="1" fillId="0" borderId="0"/>
    <xf numFmtId="0" fontId="1"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1" fillId="0" borderId="0"/>
    <xf numFmtId="0" fontId="1" fillId="0" borderId="0"/>
    <xf numFmtId="44" fontId="6" fillId="0" borderId="0" applyFont="0" applyFill="0" applyBorder="0" applyAlignment="0" applyProtection="0"/>
    <xf numFmtId="0" fontId="1" fillId="0" borderId="0"/>
    <xf numFmtId="0" fontId="1"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1" fillId="0" borderId="0"/>
    <xf numFmtId="0" fontId="1" fillId="0" borderId="0"/>
    <xf numFmtId="44" fontId="6" fillId="0" borderId="0" applyFont="0" applyFill="0" applyBorder="0" applyAlignment="0" applyProtection="0"/>
    <xf numFmtId="0" fontId="1" fillId="0" borderId="0"/>
    <xf numFmtId="0" fontId="1" fillId="0" borderId="0"/>
    <xf numFmtId="44" fontId="6" fillId="0" borderId="0" applyFont="0" applyFill="0" applyBorder="0" applyAlignment="0" applyProtection="0"/>
    <xf numFmtId="0" fontId="1" fillId="0" borderId="0"/>
    <xf numFmtId="0" fontId="1"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1" fillId="0" borderId="0"/>
    <xf numFmtId="44" fontId="6" fillId="0" borderId="0" applyFont="0" applyFill="0" applyBorder="0" applyAlignment="0" applyProtection="0"/>
    <xf numFmtId="0" fontId="1" fillId="0" borderId="0"/>
    <xf numFmtId="0" fontId="1" fillId="0" borderId="0"/>
    <xf numFmtId="0" fontId="1" fillId="0" borderId="0"/>
    <xf numFmtId="44" fontId="6" fillId="0" borderId="0" applyFont="0" applyFill="0" applyBorder="0" applyAlignment="0" applyProtection="0"/>
    <xf numFmtId="0" fontId="1" fillId="0" borderId="0"/>
    <xf numFmtId="0" fontId="1"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1" fillId="0" borderId="0"/>
    <xf numFmtId="0" fontId="1" fillId="0" borderId="0"/>
    <xf numFmtId="0" fontId="1" fillId="0" borderId="0"/>
    <xf numFmtId="44" fontId="6" fillId="0" borderId="0" applyFont="0" applyFill="0" applyBorder="0" applyAlignment="0" applyProtection="0"/>
    <xf numFmtId="0" fontId="1" fillId="0" borderId="0"/>
    <xf numFmtId="0" fontId="1" fillId="0" borderId="0"/>
    <xf numFmtId="44" fontId="6" fillId="0" borderId="0" applyFont="0" applyFill="0" applyBorder="0" applyAlignment="0" applyProtection="0"/>
    <xf numFmtId="0" fontId="1" fillId="0" borderId="0"/>
    <xf numFmtId="0" fontId="1" fillId="0" borderId="0"/>
    <xf numFmtId="44" fontId="6" fillId="0" borderId="0" applyFont="0" applyFill="0" applyBorder="0" applyAlignment="0" applyProtection="0"/>
    <xf numFmtId="0" fontId="1" fillId="0" borderId="0"/>
    <xf numFmtId="0" fontId="1" fillId="0" borderId="0"/>
    <xf numFmtId="0" fontId="1"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1" fillId="0" borderId="0"/>
    <xf numFmtId="0" fontId="1" fillId="0" borderId="0"/>
    <xf numFmtId="44" fontId="6" fillId="0" borderId="0" applyFont="0" applyFill="0" applyBorder="0" applyAlignment="0" applyProtection="0"/>
    <xf numFmtId="0" fontId="1" fillId="0" borderId="0"/>
    <xf numFmtId="0" fontId="1" fillId="0" borderId="0"/>
    <xf numFmtId="44" fontId="6" fillId="0" borderId="0" applyFont="0" applyFill="0" applyBorder="0" applyAlignment="0" applyProtection="0"/>
    <xf numFmtId="0" fontId="1" fillId="0" borderId="0"/>
    <xf numFmtId="0" fontId="1" fillId="0" borderId="0"/>
    <xf numFmtId="44" fontId="6" fillId="0" borderId="0" applyFont="0" applyFill="0" applyBorder="0" applyAlignment="0" applyProtection="0"/>
    <xf numFmtId="0" fontId="1" fillId="0" borderId="0"/>
    <xf numFmtId="0" fontId="1"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1" fillId="0" borderId="0"/>
    <xf numFmtId="0" fontId="1" fillId="0" borderId="0"/>
    <xf numFmtId="44" fontId="6" fillId="0" borderId="0" applyFont="0" applyFill="0" applyBorder="0" applyAlignment="0" applyProtection="0"/>
    <xf numFmtId="0" fontId="1" fillId="0" borderId="0"/>
    <xf numFmtId="0" fontId="1"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1" fillId="0" borderId="0"/>
    <xf numFmtId="0" fontId="1" fillId="0" borderId="0"/>
    <xf numFmtId="44" fontId="6" fillId="0" borderId="0" applyFont="0" applyFill="0" applyBorder="0" applyAlignment="0" applyProtection="0"/>
    <xf numFmtId="0" fontId="1" fillId="0" borderId="0"/>
    <xf numFmtId="0" fontId="1"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1" fillId="0" borderId="0"/>
    <xf numFmtId="0" fontId="1" fillId="0" borderId="0"/>
    <xf numFmtId="0" fontId="1" fillId="0" borderId="0"/>
    <xf numFmtId="0" fontId="1" fillId="0" borderId="0"/>
    <xf numFmtId="44" fontId="6" fillId="0" borderId="0" applyFont="0" applyFill="0" applyBorder="0" applyAlignment="0" applyProtection="0"/>
    <xf numFmtId="0" fontId="1" fillId="0" borderId="0"/>
    <xf numFmtId="0" fontId="1" fillId="0" borderId="0"/>
    <xf numFmtId="44" fontId="6" fillId="0" borderId="0" applyFont="0" applyFill="0" applyBorder="0" applyAlignment="0" applyProtection="0"/>
    <xf numFmtId="0" fontId="1" fillId="0" borderId="0"/>
    <xf numFmtId="0" fontId="1" fillId="0" borderId="0"/>
    <xf numFmtId="44" fontId="6" fillId="0" borderId="0" applyFont="0" applyFill="0" applyBorder="0" applyAlignment="0" applyProtection="0"/>
    <xf numFmtId="0" fontId="1" fillId="0" borderId="0"/>
    <xf numFmtId="0" fontId="1"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1" fillId="0" borderId="0"/>
    <xf numFmtId="0" fontId="1" fillId="0" borderId="0"/>
    <xf numFmtId="44" fontId="6" fillId="0" borderId="0" applyFont="0" applyFill="0" applyBorder="0" applyAlignment="0" applyProtection="0"/>
    <xf numFmtId="0" fontId="1" fillId="0" borderId="0"/>
    <xf numFmtId="0" fontId="1"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1" fillId="0" borderId="0"/>
    <xf numFmtId="0" fontId="1" fillId="0" borderId="0"/>
    <xf numFmtId="44" fontId="6" fillId="0" borderId="0" applyFont="0" applyFill="0" applyBorder="0" applyAlignment="0" applyProtection="0"/>
    <xf numFmtId="0" fontId="1" fillId="0" borderId="0"/>
    <xf numFmtId="0" fontId="1"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1" fillId="0" borderId="0"/>
    <xf numFmtId="0" fontId="1" fillId="0" borderId="0"/>
    <xf numFmtId="0" fontId="1" fillId="0" borderId="0"/>
    <xf numFmtId="0" fontId="1" fillId="0" borderId="0"/>
    <xf numFmtId="44" fontId="6" fillId="0" borderId="0" applyFont="0" applyFill="0" applyBorder="0" applyAlignment="0" applyProtection="0"/>
    <xf numFmtId="0" fontId="1" fillId="0" borderId="0"/>
    <xf numFmtId="0" fontId="1" fillId="0" borderId="0"/>
    <xf numFmtId="44" fontId="6" fillId="0" borderId="0" applyFont="0" applyFill="0" applyBorder="0" applyAlignment="0" applyProtection="0"/>
    <xf numFmtId="0" fontId="1" fillId="0" borderId="0"/>
    <xf numFmtId="0" fontId="1" fillId="0" borderId="0"/>
    <xf numFmtId="44" fontId="6" fillId="0" borderId="0" applyFont="0" applyFill="0" applyBorder="0" applyAlignment="0" applyProtection="0"/>
    <xf numFmtId="0" fontId="1" fillId="0" borderId="0"/>
    <xf numFmtId="0" fontId="1"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1" fillId="0" borderId="0"/>
    <xf numFmtId="0" fontId="1" fillId="0" borderId="0"/>
    <xf numFmtId="44" fontId="6" fillId="0" borderId="0" applyFont="0" applyFill="0" applyBorder="0" applyAlignment="0" applyProtection="0"/>
    <xf numFmtId="0" fontId="1" fillId="0" borderId="0"/>
    <xf numFmtId="0" fontId="1" fillId="0" borderId="0"/>
    <xf numFmtId="44" fontId="6" fillId="0" borderId="0" applyFont="0" applyFill="0" applyBorder="0" applyAlignment="0" applyProtection="0"/>
    <xf numFmtId="0" fontId="1" fillId="0" borderId="0"/>
    <xf numFmtId="0" fontId="1"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1" fillId="0" borderId="0"/>
    <xf numFmtId="0" fontId="1" fillId="0" borderId="0"/>
    <xf numFmtId="44" fontId="6" fillId="0" borderId="0" applyFont="0" applyFill="0" applyBorder="0" applyAlignment="0" applyProtection="0"/>
    <xf numFmtId="0" fontId="1" fillId="0" borderId="0"/>
    <xf numFmtId="0" fontId="1" fillId="0" borderId="0"/>
    <xf numFmtId="44" fontId="6" fillId="0" borderId="0" applyFont="0" applyFill="0" applyBorder="0" applyAlignment="0" applyProtection="0"/>
    <xf numFmtId="0" fontId="1" fillId="0" borderId="0"/>
    <xf numFmtId="0" fontId="1" fillId="0" borderId="0"/>
    <xf numFmtId="44" fontId="6" fillId="0" borderId="0" applyFont="0" applyFill="0" applyBorder="0" applyAlignment="0" applyProtection="0"/>
    <xf numFmtId="0" fontId="1" fillId="0" borderId="0"/>
    <xf numFmtId="0" fontId="1" fillId="0" borderId="0"/>
    <xf numFmtId="44" fontId="6" fillId="0" borderId="0" applyFont="0" applyFill="0" applyBorder="0" applyAlignment="0" applyProtection="0"/>
    <xf numFmtId="0" fontId="1" fillId="0" borderId="0"/>
    <xf numFmtId="0" fontId="1" fillId="0" borderId="0"/>
    <xf numFmtId="44" fontId="6" fillId="0" borderId="0" applyFont="0" applyFill="0" applyBorder="0" applyAlignment="0" applyProtection="0"/>
    <xf numFmtId="0" fontId="1" fillId="0" borderId="0"/>
    <xf numFmtId="0" fontId="1" fillId="0" borderId="0"/>
    <xf numFmtId="44" fontId="6" fillId="0" borderId="0" applyFont="0" applyFill="0" applyBorder="0" applyAlignment="0" applyProtection="0"/>
    <xf numFmtId="0" fontId="1" fillId="0" borderId="0"/>
    <xf numFmtId="0" fontId="1" fillId="0" borderId="0"/>
    <xf numFmtId="44" fontId="6" fillId="0" borderId="0" applyFont="0" applyFill="0" applyBorder="0" applyAlignment="0" applyProtection="0"/>
    <xf numFmtId="0" fontId="1" fillId="0" borderId="0"/>
    <xf numFmtId="0" fontId="1"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1" fillId="0" borderId="0"/>
    <xf numFmtId="0" fontId="1" fillId="0" borderId="0"/>
  </cellStyleXfs>
  <cellXfs count="137">
    <xf numFmtId="0" fontId="0" fillId="0" borderId="0" xfId="0"/>
    <xf numFmtId="0" fontId="14" fillId="2" borderId="2" xfId="0" applyFont="1" applyFill="1" applyBorder="1" applyAlignment="1" applyProtection="1">
      <alignment horizontal="center" vertical="center" wrapText="1" shrinkToFit="1"/>
      <protection locked="0"/>
    </xf>
    <xf numFmtId="0" fontId="14" fillId="2" borderId="26" xfId="0" applyFont="1" applyFill="1" applyBorder="1" applyAlignment="1" applyProtection="1">
      <alignment horizontal="center" vertical="center" wrapText="1" shrinkToFit="1"/>
      <protection locked="0"/>
    </xf>
    <xf numFmtId="0" fontId="14" fillId="2" borderId="2" xfId="0" applyFont="1" applyFill="1" applyBorder="1" applyAlignment="1" applyProtection="1">
      <alignment horizontal="center" vertical="center" wrapText="1" shrinkToFit="1"/>
      <protection locked="0"/>
    </xf>
    <xf numFmtId="0" fontId="14" fillId="2" borderId="26" xfId="0" applyFont="1" applyFill="1" applyBorder="1" applyAlignment="1" applyProtection="1">
      <alignment horizontal="center" vertical="center" wrapText="1" shrinkToFit="1"/>
      <protection locked="0"/>
    </xf>
    <xf numFmtId="49" fontId="14" fillId="4" borderId="5" xfId="0" applyNumberFormat="1" applyFont="1" applyFill="1" applyBorder="1" applyAlignment="1" applyProtection="1">
      <alignment horizontal="center" vertical="center" wrapText="1" shrinkToFit="1"/>
      <protection locked="0"/>
    </xf>
    <xf numFmtId="0" fontId="17" fillId="0" borderId="5" xfId="0" applyFont="1" applyBorder="1" applyAlignment="1" applyProtection="1">
      <alignment horizontal="center" vertical="center" wrapText="1" shrinkToFit="1"/>
      <protection locked="0"/>
    </xf>
    <xf numFmtId="1" fontId="14" fillId="0" borderId="1" xfId="9" applyNumberFormat="1" applyFont="1" applyFill="1" applyBorder="1" applyAlignment="1" applyProtection="1">
      <alignment horizontal="center" vertical="center" wrapText="1" shrinkToFit="1"/>
      <protection locked="0"/>
    </xf>
    <xf numFmtId="0" fontId="14" fillId="0" borderId="0" xfId="0" applyFont="1" applyAlignment="1">
      <alignment vertical="center" wrapText="1"/>
    </xf>
    <xf numFmtId="0" fontId="14" fillId="4" borderId="2" xfId="0" applyFont="1" applyFill="1" applyBorder="1" applyAlignment="1" applyProtection="1">
      <alignment horizontal="center" vertical="center" wrapText="1" shrinkToFit="1"/>
      <protection locked="0"/>
    </xf>
    <xf numFmtId="1" fontId="14" fillId="4" borderId="5" xfId="0" applyNumberFormat="1" applyFont="1" applyFill="1" applyBorder="1" applyAlignment="1" applyProtection="1">
      <alignment horizontal="center" vertical="center" wrapText="1" shrinkToFit="1"/>
      <protection locked="0"/>
    </xf>
    <xf numFmtId="0" fontId="14" fillId="0" borderId="0" xfId="0" applyFont="1" applyAlignment="1">
      <alignment wrapText="1" shrinkToFit="1"/>
    </xf>
    <xf numFmtId="0" fontId="14" fillId="0" borderId="0" xfId="0" applyFont="1" applyAlignment="1">
      <alignment wrapText="1"/>
    </xf>
    <xf numFmtId="0" fontId="14" fillId="0" borderId="0" xfId="0" applyFont="1" applyAlignment="1">
      <alignment horizontal="center" vertical="center" wrapText="1"/>
    </xf>
    <xf numFmtId="0" fontId="14" fillId="0" borderId="0" xfId="9" applyNumberFormat="1" applyFont="1" applyFill="1" applyBorder="1" applyAlignment="1" applyProtection="1">
      <alignment horizontal="center" vertical="center" wrapText="1"/>
      <protection locked="0"/>
    </xf>
    <xf numFmtId="0" fontId="14" fillId="0" borderId="0" xfId="9" applyNumberFormat="1" applyFont="1" applyFill="1" applyBorder="1" applyAlignment="1" applyProtection="1">
      <alignment vertical="center" wrapText="1"/>
      <protection locked="0"/>
    </xf>
    <xf numFmtId="0" fontId="14" fillId="2" borderId="0" xfId="0" applyFont="1" applyFill="1"/>
    <xf numFmtId="0" fontId="14" fillId="0" borderId="0" xfId="0" applyFont="1" applyAlignment="1" applyProtection="1">
      <alignment horizontal="center" vertical="center"/>
      <protection locked="0"/>
    </xf>
    <xf numFmtId="0" fontId="14" fillId="0" borderId="0" xfId="0" applyFont="1" applyAlignment="1" applyProtection="1">
      <alignment horizontal="left" vertical="top"/>
      <protection locked="0"/>
    </xf>
    <xf numFmtId="49" fontId="14" fillId="0" borderId="0" xfId="0" applyNumberFormat="1" applyFont="1" applyProtection="1">
      <protection locked="0"/>
    </xf>
    <xf numFmtId="167" fontId="18" fillId="0" borderId="0" xfId="0" applyNumberFormat="1" applyFont="1" applyAlignment="1" applyProtection="1">
      <alignment horizontal="center" vertical="center" wrapText="1" shrinkToFit="1"/>
      <protection locked="0"/>
    </xf>
    <xf numFmtId="44" fontId="18" fillId="0" borderId="0" xfId="16" applyFont="1" applyFill="1" applyBorder="1" applyAlignment="1" applyProtection="1">
      <alignment horizontal="center" vertical="center" wrapText="1"/>
      <protection locked="0"/>
    </xf>
    <xf numFmtId="0" fontId="14" fillId="0" borderId="0" xfId="0" applyFont="1"/>
    <xf numFmtId="49" fontId="14" fillId="2" borderId="0" xfId="0" applyNumberFormat="1" applyFont="1" applyFill="1" applyAlignment="1" applyProtection="1">
      <alignment horizontal="left" vertical="center" wrapText="1"/>
      <protection locked="0"/>
    </xf>
    <xf numFmtId="49" fontId="18" fillId="0" borderId="0" xfId="0" applyNumberFormat="1" applyFont="1" applyAlignment="1">
      <alignment vertical="center"/>
    </xf>
    <xf numFmtId="0" fontId="14" fillId="0" borderId="0" xfId="0" applyFont="1" applyAlignment="1">
      <alignment vertical="center"/>
    </xf>
    <xf numFmtId="49" fontId="14" fillId="0" borderId="0" xfId="0" applyNumberFormat="1" applyFont="1" applyAlignment="1">
      <alignment vertical="center" wrapText="1"/>
    </xf>
    <xf numFmtId="170" fontId="14" fillId="0" borderId="1" xfId="9" applyNumberFormat="1" applyFont="1" applyFill="1" applyBorder="1" applyAlignment="1" applyProtection="1">
      <alignment horizontal="center" vertical="center" wrapText="1" shrinkToFit="1"/>
      <protection locked="0"/>
    </xf>
    <xf numFmtId="49" fontId="22" fillId="4" borderId="1" xfId="0" applyNumberFormat="1" applyFont="1" applyFill="1" applyBorder="1" applyAlignment="1">
      <alignment horizontal="left" vertical="center" wrapText="1" shrinkToFit="1"/>
    </xf>
    <xf numFmtId="0" fontId="6" fillId="0" borderId="0" xfId="0" applyFont="1" applyAlignment="1">
      <alignment vertical="center" wrapText="1" shrinkToFit="1"/>
    </xf>
    <xf numFmtId="9" fontId="14" fillId="0" borderId="1" xfId="9" applyNumberFormat="1" applyFont="1" applyFill="1" applyBorder="1" applyAlignment="1" applyProtection="1">
      <alignment horizontal="center" vertical="center" wrapText="1" shrinkToFit="1"/>
      <protection locked="0"/>
    </xf>
    <xf numFmtId="2" fontId="14" fillId="0" borderId="1" xfId="9" applyNumberFormat="1" applyFont="1" applyFill="1" applyBorder="1" applyAlignment="1" applyProtection="1">
      <alignment horizontal="center" vertical="center" wrapText="1" shrinkToFit="1"/>
      <protection locked="0"/>
    </xf>
    <xf numFmtId="2" fontId="14" fillId="0" borderId="0" xfId="0" applyNumberFormat="1" applyFont="1" applyAlignment="1" applyProtection="1">
      <alignment horizontal="center" vertical="center" wrapText="1"/>
      <protection locked="0"/>
    </xf>
    <xf numFmtId="2" fontId="14" fillId="0" borderId="0" xfId="9" applyNumberFormat="1" applyFont="1" applyFill="1" applyBorder="1" applyAlignment="1" applyProtection="1">
      <alignment vertical="center" wrapText="1"/>
      <protection locked="0"/>
    </xf>
    <xf numFmtId="2" fontId="14" fillId="0" borderId="0" xfId="0" applyNumberFormat="1" applyFont="1" applyAlignment="1" applyProtection="1">
      <alignment horizontal="center" vertical="center"/>
      <protection locked="0"/>
    </xf>
    <xf numFmtId="2" fontId="14" fillId="2" borderId="0" xfId="0" applyNumberFormat="1" applyFont="1" applyFill="1" applyAlignment="1" applyProtection="1">
      <alignment horizontal="left" vertical="center" wrapText="1"/>
      <protection locked="0"/>
    </xf>
    <xf numFmtId="2" fontId="14" fillId="4" borderId="33" xfId="0" applyNumberFormat="1" applyFont="1" applyFill="1" applyBorder="1" applyAlignment="1" applyProtection="1">
      <alignment horizontal="center" vertical="center" wrapText="1" shrinkToFit="1"/>
      <protection locked="0"/>
    </xf>
    <xf numFmtId="2" fontId="14" fillId="4" borderId="0" xfId="0" applyNumberFormat="1" applyFont="1" applyFill="1" applyAlignment="1" applyProtection="1">
      <alignment horizontal="center" vertical="center" wrapText="1" shrinkToFit="1"/>
      <protection locked="0"/>
    </xf>
    <xf numFmtId="2" fontId="23" fillId="6" borderId="9" xfId="0" applyNumberFormat="1" applyFont="1" applyFill="1" applyBorder="1" applyAlignment="1">
      <alignment horizontal="right" vertical="center" wrapText="1" shrinkToFit="1"/>
    </xf>
    <xf numFmtId="2" fontId="23" fillId="6" borderId="17" xfId="0" applyNumberFormat="1" applyFont="1" applyFill="1" applyBorder="1" applyAlignment="1">
      <alignment horizontal="right" vertical="center" wrapText="1" shrinkToFit="1"/>
    </xf>
    <xf numFmtId="0" fontId="21" fillId="3" borderId="22" xfId="0" applyFont="1" applyFill="1" applyBorder="1" applyAlignment="1">
      <alignment horizontal="left" vertical="center" wrapText="1"/>
    </xf>
    <xf numFmtId="49" fontId="16" fillId="3" borderId="22" xfId="0" applyNumberFormat="1" applyFont="1" applyFill="1" applyBorder="1" applyAlignment="1" applyProtection="1">
      <alignment vertical="center" wrapText="1"/>
      <protection locked="0"/>
    </xf>
    <xf numFmtId="2" fontId="16" fillId="3" borderId="22" xfId="0" applyNumberFormat="1" applyFont="1" applyFill="1" applyBorder="1" applyAlignment="1" applyProtection="1">
      <alignment vertical="center" wrapText="1"/>
      <protection locked="0"/>
    </xf>
    <xf numFmtId="2" fontId="14" fillId="0" borderId="10" xfId="0" applyNumberFormat="1" applyFont="1" applyBorder="1" applyAlignment="1" applyProtection="1">
      <alignment horizontal="center" vertical="center" wrapText="1" shrinkToFit="1"/>
      <protection locked="0"/>
    </xf>
    <xf numFmtId="0" fontId="18" fillId="0" borderId="26" xfId="0" applyFont="1" applyBorder="1" applyAlignment="1" applyProtection="1">
      <alignment horizontal="center" vertical="center" wrapText="1"/>
      <protection locked="0"/>
    </xf>
    <xf numFmtId="0" fontId="18" fillId="0" borderId="27" xfId="0" applyFont="1" applyBorder="1" applyAlignment="1" applyProtection="1">
      <alignment horizontal="center" vertical="center" wrapText="1"/>
      <protection locked="0"/>
    </xf>
    <xf numFmtId="0" fontId="14" fillId="0" borderId="28" xfId="0" applyFont="1" applyBorder="1" applyAlignment="1" applyProtection="1">
      <alignment horizontal="left" vertical="top" wrapText="1"/>
      <protection locked="0"/>
    </xf>
    <xf numFmtId="2" fontId="18" fillId="5" borderId="3" xfId="4" applyNumberFormat="1" applyFont="1" applyFill="1" applyBorder="1" applyAlignment="1" applyProtection="1">
      <alignment horizontal="center" vertical="center" wrapText="1"/>
      <protection locked="0"/>
    </xf>
    <xf numFmtId="49" fontId="18" fillId="5" borderId="24" xfId="0" applyNumberFormat="1" applyFont="1" applyFill="1" applyBorder="1" applyAlignment="1" applyProtection="1">
      <alignment horizontal="center" vertical="center" wrapText="1"/>
      <protection locked="0"/>
    </xf>
    <xf numFmtId="4" fontId="18" fillId="5" borderId="16" xfId="0" applyNumberFormat="1" applyFont="1" applyFill="1" applyBorder="1" applyAlignment="1" applyProtection="1">
      <alignment horizontal="center" vertical="center" wrapText="1"/>
      <protection locked="0"/>
    </xf>
    <xf numFmtId="2" fontId="18" fillId="5" borderId="16" xfId="0" applyNumberFormat="1" applyFont="1" applyFill="1" applyBorder="1" applyAlignment="1" applyProtection="1">
      <alignment horizontal="center" vertical="center" wrapText="1"/>
      <protection locked="0"/>
    </xf>
    <xf numFmtId="2" fontId="14" fillId="5" borderId="30" xfId="3" applyNumberFormat="1" applyFont="1" applyFill="1" applyBorder="1" applyAlignment="1">
      <alignment horizontal="center" vertical="center" wrapText="1"/>
    </xf>
    <xf numFmtId="0" fontId="14" fillId="5" borderId="31" xfId="3" applyFont="1" applyFill="1" applyBorder="1" applyAlignment="1">
      <alignment horizontal="center" vertical="center" wrapText="1"/>
    </xf>
    <xf numFmtId="0" fontId="22" fillId="3" borderId="4" xfId="10" applyFont="1" applyFill="1" applyBorder="1" applyAlignment="1">
      <alignment horizontal="left" vertical="center" wrapText="1"/>
    </xf>
    <xf numFmtId="49" fontId="25" fillId="0" borderId="0" xfId="10" applyNumberFormat="1" applyFont="1" applyAlignment="1">
      <alignment horizontal="left" vertical="center" wrapText="1" shrinkToFit="1"/>
    </xf>
    <xf numFmtId="0" fontId="23" fillId="0" borderId="2" xfId="11" applyFont="1" applyBorder="1" applyAlignment="1">
      <alignment vertical="center" wrapText="1"/>
    </xf>
    <xf numFmtId="0" fontId="23" fillId="0" borderId="5" xfId="11" applyFont="1" applyBorder="1" applyAlignment="1">
      <alignment vertical="center" wrapText="1"/>
    </xf>
    <xf numFmtId="49" fontId="22" fillId="4" borderId="0" xfId="10" applyNumberFormat="1" applyFont="1" applyFill="1" applyAlignment="1" applyProtection="1">
      <alignment horizontal="left" vertical="center" wrapText="1" shrinkToFit="1"/>
      <protection locked="0"/>
    </xf>
    <xf numFmtId="170" fontId="23" fillId="0" borderId="1" xfId="9" applyNumberFormat="1" applyFont="1" applyFill="1" applyBorder="1" applyAlignment="1" applyProtection="1">
      <alignment horizontal="left" vertical="center" wrapText="1" shrinkToFit="1"/>
      <protection locked="0"/>
    </xf>
    <xf numFmtId="49" fontId="25" fillId="0" borderId="0" xfId="10" applyNumberFormat="1" applyFont="1" applyAlignment="1" applyProtection="1">
      <alignment horizontal="left" vertical="center" wrapText="1" shrinkToFit="1"/>
      <protection locked="0"/>
    </xf>
    <xf numFmtId="0" fontId="26" fillId="0" borderId="5" xfId="11" applyFont="1" applyBorder="1" applyAlignment="1">
      <alignment vertical="center" wrapText="1"/>
    </xf>
    <xf numFmtId="170" fontId="26" fillId="0" borderId="1" xfId="9" applyNumberFormat="1" applyFont="1" applyFill="1" applyBorder="1" applyAlignment="1" applyProtection="1">
      <alignment horizontal="left" vertical="center" wrapText="1" shrinkToFit="1"/>
      <protection locked="0"/>
    </xf>
    <xf numFmtId="49" fontId="25" fillId="2" borderId="35" xfId="10" applyNumberFormat="1" applyFont="1" applyFill="1" applyBorder="1" applyAlignment="1">
      <alignment horizontal="left" vertical="center" wrapText="1" shrinkToFit="1"/>
    </xf>
    <xf numFmtId="0" fontId="23" fillId="0" borderId="5" xfId="11" quotePrefix="1" applyFont="1" applyBorder="1" applyAlignment="1">
      <alignment vertical="center" wrapText="1"/>
    </xf>
    <xf numFmtId="49" fontId="26" fillId="0" borderId="1" xfId="10" applyNumberFormat="1" applyFont="1" applyBorder="1" applyAlignment="1">
      <alignment horizontal="left" vertical="center" wrapText="1" shrinkToFit="1"/>
    </xf>
    <xf numFmtId="0" fontId="21" fillId="3" borderId="22" xfId="10" applyFont="1" applyFill="1" applyBorder="1" applyAlignment="1">
      <alignment horizontal="left" vertical="center" wrapText="1"/>
    </xf>
    <xf numFmtId="49" fontId="22" fillId="4" borderId="1" xfId="10" applyNumberFormat="1" applyFont="1" applyFill="1" applyBorder="1" applyAlignment="1">
      <alignment horizontal="left" vertical="center" wrapText="1" shrinkToFit="1"/>
    </xf>
    <xf numFmtId="170" fontId="27" fillId="0" borderId="1" xfId="9" applyNumberFormat="1" applyFont="1" applyFill="1" applyBorder="1" applyAlignment="1" applyProtection="1">
      <alignment horizontal="left" vertical="center" wrapText="1" shrinkToFit="1"/>
      <protection locked="0"/>
    </xf>
    <xf numFmtId="0" fontId="23" fillId="0" borderId="5" xfId="10" applyFont="1" applyBorder="1" applyAlignment="1">
      <alignment vertical="top" wrapText="1"/>
    </xf>
    <xf numFmtId="170" fontId="22" fillId="0" borderId="1" xfId="9" applyNumberFormat="1" applyFont="1" applyFill="1" applyBorder="1" applyAlignment="1" applyProtection="1">
      <alignment horizontal="left" vertical="center" wrapText="1" shrinkToFit="1"/>
      <protection locked="0"/>
    </xf>
    <xf numFmtId="0" fontId="22" fillId="3" borderId="19" xfId="1" applyFont="1" applyFill="1" applyBorder="1" applyAlignment="1">
      <alignment horizontal="left" vertical="center" wrapText="1" shrinkToFit="1"/>
    </xf>
    <xf numFmtId="2" fontId="16" fillId="3" borderId="23" xfId="0" applyNumberFormat="1" applyFont="1" applyFill="1" applyBorder="1" applyAlignment="1" applyProtection="1">
      <alignment vertical="center" wrapText="1"/>
      <protection locked="0"/>
    </xf>
    <xf numFmtId="0" fontId="14" fillId="4" borderId="5" xfId="0" applyFont="1" applyFill="1" applyBorder="1" applyAlignment="1" applyProtection="1">
      <alignment horizontal="center" vertical="center" wrapText="1" shrinkToFit="1"/>
      <protection locked="0"/>
    </xf>
    <xf numFmtId="2" fontId="14" fillId="4" borderId="5" xfId="0" applyNumberFormat="1" applyFont="1" applyFill="1" applyBorder="1" applyAlignment="1" applyProtection="1">
      <alignment horizontal="center" vertical="center" wrapText="1" shrinkToFit="1"/>
      <protection locked="0"/>
    </xf>
    <xf numFmtId="2" fontId="14" fillId="4" borderId="10" xfId="0" applyNumberFormat="1" applyFont="1" applyFill="1" applyBorder="1" applyAlignment="1" applyProtection="1">
      <alignment horizontal="center" vertical="center" wrapText="1" shrinkToFit="1"/>
      <protection locked="0"/>
    </xf>
    <xf numFmtId="1" fontId="14" fillId="0" borderId="5" xfId="9" applyNumberFormat="1" applyFont="1" applyFill="1" applyBorder="1" applyAlignment="1" applyProtection="1">
      <alignment horizontal="center" vertical="center" wrapText="1" shrinkToFit="1"/>
      <protection locked="0"/>
    </xf>
    <xf numFmtId="2" fontId="14" fillId="0" borderId="5" xfId="9" applyNumberFormat="1" applyFont="1" applyFill="1" applyBorder="1" applyAlignment="1" applyProtection="1">
      <alignment horizontal="center" vertical="center" wrapText="1" shrinkToFit="1"/>
      <protection locked="0"/>
    </xf>
    <xf numFmtId="9" fontId="14" fillId="0" borderId="5" xfId="9" applyNumberFormat="1" applyFont="1" applyFill="1" applyBorder="1" applyAlignment="1" applyProtection="1">
      <alignment horizontal="center" vertical="center" wrapText="1" shrinkToFit="1"/>
      <protection locked="0"/>
    </xf>
    <xf numFmtId="49" fontId="23" fillId="0" borderId="35" xfId="10" applyNumberFormat="1" applyFont="1" applyBorder="1" applyAlignment="1">
      <alignment horizontal="left" vertical="center" wrapText="1" shrinkToFit="1"/>
    </xf>
    <xf numFmtId="0" fontId="18" fillId="5" borderId="8" xfId="4" applyFont="1" applyFill="1" applyBorder="1" applyAlignment="1" applyProtection="1">
      <alignment horizontal="center" vertical="center" wrapText="1"/>
      <protection locked="0"/>
    </xf>
    <xf numFmtId="2" fontId="18" fillId="5" borderId="17" xfId="0" applyNumberFormat="1" applyFont="1" applyFill="1" applyBorder="1" applyAlignment="1" applyProtection="1">
      <alignment horizontal="center" vertical="center" wrapText="1"/>
      <protection locked="0"/>
    </xf>
    <xf numFmtId="0" fontId="14" fillId="0" borderId="26" xfId="0" applyFont="1" applyBorder="1" applyAlignment="1" applyProtection="1">
      <alignment horizontal="center" vertical="center" wrapText="1" shrinkToFit="1"/>
      <protection locked="0"/>
    </xf>
    <xf numFmtId="1" fontId="14" fillId="8" borderId="5" xfId="9" applyNumberFormat="1" applyFont="1" applyFill="1" applyBorder="1" applyAlignment="1" applyProtection="1">
      <alignment horizontal="center" vertical="center" wrapText="1" shrinkToFit="1"/>
      <protection locked="0"/>
    </xf>
    <xf numFmtId="49" fontId="18" fillId="0" borderId="0" xfId="0" applyNumberFormat="1" applyFont="1" applyAlignment="1">
      <alignment horizontal="left" vertical="center"/>
    </xf>
    <xf numFmtId="49" fontId="18" fillId="0" borderId="0" xfId="0" applyNumberFormat="1" applyFont="1" applyAlignment="1">
      <alignment horizontal="left" vertical="center" wrapText="1"/>
    </xf>
    <xf numFmtId="2" fontId="14" fillId="7" borderId="11" xfId="0" applyNumberFormat="1" applyFont="1" applyFill="1" applyBorder="1" applyAlignment="1" applyProtection="1">
      <alignment horizontal="center" vertical="center" wrapText="1"/>
      <protection locked="0"/>
    </xf>
    <xf numFmtId="2" fontId="14" fillId="7" borderId="13" xfId="0" applyNumberFormat="1" applyFont="1" applyFill="1" applyBorder="1" applyAlignment="1" applyProtection="1">
      <alignment horizontal="center" vertical="center" wrapText="1"/>
      <protection locked="0"/>
    </xf>
    <xf numFmtId="2" fontId="14" fillId="7" borderId="14" xfId="0" applyNumberFormat="1" applyFont="1" applyFill="1" applyBorder="1" applyAlignment="1" applyProtection="1">
      <alignment horizontal="center" vertical="center" wrapText="1"/>
      <protection locked="0"/>
    </xf>
    <xf numFmtId="2" fontId="14" fillId="7" borderId="8" xfId="0" applyNumberFormat="1" applyFont="1" applyFill="1" applyBorder="1" applyAlignment="1" applyProtection="1">
      <alignment horizontal="center" vertical="center" wrapText="1"/>
      <protection locked="0"/>
    </xf>
    <xf numFmtId="2" fontId="14" fillId="7" borderId="18" xfId="0" applyNumberFormat="1" applyFont="1" applyFill="1" applyBorder="1" applyAlignment="1" applyProtection="1">
      <alignment horizontal="center" vertical="center" wrapText="1"/>
      <protection locked="0"/>
    </xf>
    <xf numFmtId="2" fontId="14" fillId="7" borderId="25" xfId="0" applyNumberFormat="1" applyFont="1" applyFill="1" applyBorder="1" applyAlignment="1" applyProtection="1">
      <alignment horizontal="center" vertical="center" wrapText="1"/>
      <protection locked="0"/>
    </xf>
    <xf numFmtId="49" fontId="14" fillId="2" borderId="0" xfId="0" applyNumberFormat="1" applyFont="1" applyFill="1" applyAlignment="1" applyProtection="1">
      <alignment horizontal="left" vertical="center" wrapText="1"/>
      <protection locked="0"/>
    </xf>
    <xf numFmtId="0" fontId="14" fillId="7" borderId="6" xfId="0" applyFont="1" applyFill="1" applyBorder="1" applyAlignment="1" applyProtection="1">
      <alignment horizontal="left" vertical="center" wrapText="1"/>
      <protection locked="0"/>
    </xf>
    <xf numFmtId="0" fontId="14" fillId="7" borderId="3" xfId="0" applyFont="1" applyFill="1" applyBorder="1" applyAlignment="1" applyProtection="1">
      <alignment horizontal="left" vertical="center" wrapText="1"/>
      <protection locked="0"/>
    </xf>
    <xf numFmtId="0" fontId="14" fillId="7" borderId="7" xfId="0" applyFont="1" applyFill="1" applyBorder="1" applyAlignment="1" applyProtection="1">
      <alignment horizontal="left" vertical="center" wrapText="1"/>
      <protection locked="0"/>
    </xf>
    <xf numFmtId="2" fontId="14" fillId="7" borderId="6" xfId="0" applyNumberFormat="1" applyFont="1" applyFill="1" applyBorder="1" applyAlignment="1" applyProtection="1">
      <alignment horizontal="center" vertical="center" wrapText="1"/>
      <protection locked="0"/>
    </xf>
    <xf numFmtId="49" fontId="22" fillId="6" borderId="18" xfId="0" applyNumberFormat="1" applyFont="1" applyFill="1" applyBorder="1" applyAlignment="1">
      <alignment horizontal="center" vertical="center" wrapText="1" shrinkToFit="1"/>
    </xf>
    <xf numFmtId="49" fontId="22" fillId="6" borderId="24" xfId="0" applyNumberFormat="1" applyFont="1" applyFill="1" applyBorder="1" applyAlignment="1">
      <alignment horizontal="center" vertical="center" wrapText="1" shrinkToFit="1"/>
    </xf>
    <xf numFmtId="49" fontId="22" fillId="6" borderId="32" xfId="0" applyNumberFormat="1" applyFont="1" applyFill="1" applyBorder="1" applyAlignment="1">
      <alignment horizontal="center" vertical="center" wrapText="1" shrinkToFit="1"/>
    </xf>
    <xf numFmtId="0" fontId="18" fillId="5" borderId="15" xfId="0" applyFont="1" applyFill="1" applyBorder="1" applyAlignment="1" applyProtection="1">
      <alignment horizontal="center" vertical="center" wrapText="1"/>
      <protection locked="0"/>
    </xf>
    <xf numFmtId="0" fontId="18" fillId="5" borderId="4" xfId="0" applyFont="1" applyFill="1" applyBorder="1" applyAlignment="1" applyProtection="1">
      <alignment horizontal="center" vertical="center" wrapText="1"/>
      <protection locked="0"/>
    </xf>
    <xf numFmtId="0" fontId="14" fillId="5" borderId="29" xfId="3" applyFont="1" applyFill="1" applyBorder="1" applyAlignment="1">
      <alignment horizontal="center" vertical="center" wrapText="1"/>
    </xf>
    <xf numFmtId="0" fontId="14" fillId="5" borderId="30" xfId="3" applyFont="1" applyFill="1" applyBorder="1" applyAlignment="1">
      <alignment horizontal="center" vertical="center" wrapText="1"/>
    </xf>
    <xf numFmtId="49" fontId="22" fillId="6" borderId="14" xfId="0" applyNumberFormat="1" applyFont="1" applyFill="1" applyBorder="1" applyAlignment="1">
      <alignment horizontal="center" vertical="center" wrapText="1" shrinkToFit="1"/>
    </xf>
    <xf numFmtId="49" fontId="22" fillId="6" borderId="3" xfId="0" applyNumberFormat="1" applyFont="1" applyFill="1" applyBorder="1" applyAlignment="1">
      <alignment horizontal="center" vertical="center" wrapText="1" shrinkToFit="1"/>
    </xf>
    <xf numFmtId="49" fontId="22" fillId="6" borderId="7" xfId="0" applyNumberFormat="1" applyFont="1" applyFill="1" applyBorder="1" applyAlignment="1">
      <alignment horizontal="center" vertical="center" wrapText="1" shrinkToFit="1"/>
    </xf>
    <xf numFmtId="0" fontId="14" fillId="0" borderId="26" xfId="0" applyFont="1" applyBorder="1" applyAlignment="1" applyProtection="1">
      <alignment horizontal="center" vertical="center" wrapText="1" shrinkToFit="1"/>
      <protection locked="0"/>
    </xf>
    <xf numFmtId="0" fontId="14" fillId="0" borderId="2" xfId="0" applyFont="1" applyBorder="1" applyAlignment="1" applyProtection="1">
      <alignment horizontal="center" vertical="center" wrapText="1" shrinkToFit="1"/>
      <protection locked="0"/>
    </xf>
    <xf numFmtId="0" fontId="18" fillId="0" borderId="28" xfId="0" applyFont="1" applyBorder="1" applyAlignment="1" applyProtection="1">
      <alignment horizontal="right" vertical="center" wrapText="1"/>
      <protection locked="0"/>
    </xf>
    <xf numFmtId="0" fontId="18" fillId="5" borderId="21" xfId="0" applyFont="1" applyFill="1" applyBorder="1" applyAlignment="1" applyProtection="1">
      <alignment horizontal="center" vertical="center" wrapText="1"/>
      <protection locked="0"/>
    </xf>
    <xf numFmtId="0" fontId="18" fillId="5" borderId="22" xfId="0" applyFont="1" applyFill="1" applyBorder="1" applyAlignment="1" applyProtection="1">
      <alignment horizontal="center" vertical="center" wrapText="1"/>
      <protection locked="0"/>
    </xf>
    <xf numFmtId="0" fontId="14" fillId="5" borderId="22" xfId="0" applyFont="1" applyFill="1" applyBorder="1" applyAlignment="1" applyProtection="1">
      <alignment horizontal="center" vertical="center" wrapText="1"/>
      <protection locked="0"/>
    </xf>
    <xf numFmtId="2" fontId="14" fillId="5" borderId="22" xfId="0" applyNumberFormat="1" applyFont="1" applyFill="1" applyBorder="1" applyAlignment="1" applyProtection="1">
      <alignment horizontal="center" vertical="center" wrapText="1"/>
      <protection locked="0"/>
    </xf>
    <xf numFmtId="0" fontId="19" fillId="5" borderId="29" xfId="0" applyFont="1" applyFill="1" applyBorder="1" applyAlignment="1" applyProtection="1">
      <alignment horizontal="center" vertical="center" wrapText="1" shrinkToFit="1"/>
      <protection locked="0"/>
    </xf>
    <xf numFmtId="0" fontId="19" fillId="5" borderId="30" xfId="0" applyFont="1" applyFill="1" applyBorder="1" applyAlignment="1" applyProtection="1">
      <alignment horizontal="center" vertical="center" wrapText="1" shrinkToFit="1"/>
      <protection locked="0"/>
    </xf>
    <xf numFmtId="0" fontId="20" fillId="0" borderId="0" xfId="4" applyFont="1" applyAlignment="1">
      <alignment horizontal="left" vertical="center" wrapText="1"/>
    </xf>
    <xf numFmtId="0" fontId="14" fillId="5" borderId="14" xfId="4" applyFont="1" applyFill="1" applyBorder="1" applyAlignment="1" applyProtection="1">
      <alignment horizontal="center" vertical="center" wrapText="1"/>
      <protection locked="0"/>
    </xf>
    <xf numFmtId="0" fontId="14" fillId="5" borderId="3" xfId="4" applyFont="1" applyFill="1" applyBorder="1" applyAlignment="1" applyProtection="1">
      <alignment horizontal="center" vertical="center" wrapText="1"/>
      <protection locked="0"/>
    </xf>
    <xf numFmtId="0" fontId="18" fillId="5" borderId="11" xfId="3" applyFont="1" applyFill="1" applyBorder="1" applyAlignment="1" applyProtection="1">
      <alignment horizontal="center" vertical="center" wrapText="1"/>
      <protection locked="0"/>
    </xf>
    <xf numFmtId="0" fontId="18" fillId="5" borderId="12" xfId="3" applyFont="1" applyFill="1" applyBorder="1" applyAlignment="1" applyProtection="1">
      <alignment horizontal="center" vertical="center" wrapText="1"/>
      <protection locked="0"/>
    </xf>
    <xf numFmtId="0" fontId="18" fillId="5" borderId="13" xfId="3" applyFont="1" applyFill="1" applyBorder="1" applyAlignment="1" applyProtection="1">
      <alignment horizontal="center" vertical="center" wrapText="1"/>
      <protection locked="0"/>
    </xf>
    <xf numFmtId="0" fontId="18" fillId="5" borderId="18" xfId="0" applyFont="1" applyFill="1" applyBorder="1" applyAlignment="1" applyProtection="1">
      <alignment horizontal="center" vertical="center" wrapText="1"/>
      <protection locked="0"/>
    </xf>
    <xf numFmtId="0" fontId="18" fillId="5" borderId="32" xfId="0" applyFont="1" applyFill="1" applyBorder="1" applyAlignment="1" applyProtection="1">
      <alignment horizontal="center" vertical="center" wrapText="1"/>
      <protection locked="0"/>
    </xf>
    <xf numFmtId="0" fontId="18" fillId="2" borderId="20" xfId="0" applyFont="1" applyFill="1" applyBorder="1" applyAlignment="1" applyProtection="1">
      <alignment horizontal="center" vertical="center" wrapText="1"/>
      <protection locked="0"/>
    </xf>
    <xf numFmtId="0" fontId="18" fillId="2" borderId="34" xfId="0" applyFont="1" applyFill="1" applyBorder="1" applyAlignment="1" applyProtection="1">
      <alignment horizontal="center" vertical="center" wrapText="1"/>
      <protection locked="0"/>
    </xf>
    <xf numFmtId="0" fontId="14" fillId="0" borderId="0" xfId="0" applyFont="1" applyBorder="1" applyAlignment="1" applyProtection="1">
      <alignment horizontal="center" vertical="center" wrapText="1" shrinkToFit="1"/>
      <protection locked="0"/>
    </xf>
    <xf numFmtId="0" fontId="14" fillId="0" borderId="0" xfId="0" applyFont="1" applyBorder="1" applyAlignment="1" applyProtection="1">
      <alignment vertical="top" wrapText="1" shrinkToFit="1"/>
      <protection locked="0"/>
    </xf>
    <xf numFmtId="0" fontId="17" fillId="0" borderId="0" xfId="0" applyFont="1" applyBorder="1" applyAlignment="1" applyProtection="1">
      <alignment horizontal="center" vertical="center" wrapText="1"/>
      <protection locked="0"/>
    </xf>
    <xf numFmtId="2" fontId="14" fillId="0" borderId="0" xfId="0" applyNumberFormat="1" applyFont="1" applyBorder="1" applyAlignment="1" applyProtection="1">
      <alignment horizontal="center" vertical="center" wrapText="1"/>
      <protection locked="0"/>
    </xf>
    <xf numFmtId="2" fontId="14" fillId="0" borderId="33" xfId="0" applyNumberFormat="1" applyFont="1" applyBorder="1" applyAlignment="1" applyProtection="1">
      <alignment horizontal="center" vertical="center" wrapText="1" shrinkToFit="1"/>
      <protection locked="0"/>
    </xf>
    <xf numFmtId="0" fontId="19" fillId="5" borderId="31" xfId="0" applyFont="1" applyFill="1" applyBorder="1" applyAlignment="1" applyProtection="1">
      <alignment horizontal="center" vertical="center" wrapText="1" shrinkToFit="1"/>
      <protection locked="0"/>
    </xf>
    <xf numFmtId="0" fontId="18" fillId="0" borderId="0" xfId="0" applyFont="1" applyBorder="1" applyAlignment="1" applyProtection="1">
      <alignment horizontal="left" vertical="top" wrapText="1"/>
      <protection locked="0"/>
    </xf>
    <xf numFmtId="0" fontId="19" fillId="0" borderId="0" xfId="0" applyFont="1" applyBorder="1" applyAlignment="1" applyProtection="1">
      <alignment vertical="center" wrapText="1" shrinkToFit="1"/>
      <protection locked="0"/>
    </xf>
    <xf numFmtId="2" fontId="14" fillId="0" borderId="33" xfId="9" applyNumberFormat="1" applyFont="1" applyFill="1" applyBorder="1" applyAlignment="1" applyProtection="1">
      <alignment vertical="center" wrapText="1"/>
      <protection locked="0"/>
    </xf>
    <xf numFmtId="2" fontId="14" fillId="5" borderId="23" xfId="0" applyNumberFormat="1" applyFont="1" applyFill="1" applyBorder="1" applyAlignment="1" applyProtection="1">
      <alignment horizontal="center" vertical="center" wrapText="1"/>
      <protection locked="0"/>
    </xf>
    <xf numFmtId="0" fontId="18" fillId="0" borderId="0" xfId="0" applyFont="1" applyBorder="1" applyAlignment="1" applyProtection="1">
      <alignment horizontal="right" vertical="center" wrapText="1"/>
      <protection locked="0"/>
    </xf>
    <xf numFmtId="0" fontId="14" fillId="0" borderId="0" xfId="0" applyFont="1" applyBorder="1" applyAlignment="1" applyProtection="1">
      <alignment horizontal="left" vertical="top" wrapText="1"/>
      <protection locked="0"/>
    </xf>
  </cellXfs>
  <cellStyles count="584">
    <cellStyle name="Debut Chapitre" xfId="12" xr:uid="{00000000-0005-0000-0000-000000000000}"/>
    <cellStyle name="Euro" xfId="2" xr:uid="{00000000-0005-0000-0000-000001000000}"/>
    <cellStyle name="Euro 2" xfId="7" xr:uid="{00000000-0005-0000-0000-000002000000}"/>
    <cellStyle name="Euro 3" xfId="6" xr:uid="{00000000-0005-0000-0000-000003000000}"/>
    <cellStyle name="Lien hypertexte 2" xfId="19" xr:uid="{DFFBD848-0121-4E39-AE1E-E6555D456DE9}"/>
    <cellStyle name="Milliers 2" xfId="9" xr:uid="{00000000-0005-0000-0000-000004000000}"/>
    <cellStyle name="Milliers 3" xfId="8" xr:uid="{00000000-0005-0000-0000-000005000000}"/>
    <cellStyle name="Milliers 4" xfId="13" xr:uid="{00000000-0005-0000-0000-000006000000}"/>
    <cellStyle name="Monétaire 2" xfId="16" xr:uid="{00000000-0005-0000-0000-000008000000}"/>
    <cellStyle name="Monétaire 2 10" xfId="172" xr:uid="{3348BAD9-FA49-46F4-9002-7FC48FF5178F}"/>
    <cellStyle name="Monétaire 2 10 2" xfId="449" xr:uid="{3872D28A-C394-4C66-93F0-9C5C645A8EB9}"/>
    <cellStyle name="Monétaire 2 11" xfId="209" xr:uid="{E8AD9D15-EE3D-42D8-82DE-3C2BD4733A64}"/>
    <cellStyle name="Monétaire 2 11 2" xfId="486" xr:uid="{8C23B57A-F828-4CD2-9453-B9E77F27196E}"/>
    <cellStyle name="Monétaire 2 12" xfId="101" xr:uid="{5EEAD0CE-B1AB-46EA-90BE-D06D2DADCE56}"/>
    <cellStyle name="Monétaire 2 12 2" xfId="378" xr:uid="{1120C33D-EF4C-4E7F-AE2D-E7C54AA26CB9}"/>
    <cellStyle name="Monétaire 2 13" xfId="246" xr:uid="{DBD9AA71-67B3-459C-B2B5-FE02FB6624FE}"/>
    <cellStyle name="Monétaire 2 13 2" xfId="523" xr:uid="{79451920-719E-4792-A7F1-18A943421765}"/>
    <cellStyle name="Monétaire 2 14" xfId="30" xr:uid="{F8242B34-684C-4E52-BC48-8499EF432F83}"/>
    <cellStyle name="Monétaire 2 15" xfId="307" xr:uid="{C687400C-F869-4399-B280-8B194DBA1BBA}"/>
    <cellStyle name="Monétaire 2 2" xfId="27" xr:uid="{FE93FD49-655F-4D60-9B2C-D109E40F3835}"/>
    <cellStyle name="Monétaire 2 2 10" xfId="111" xr:uid="{5AFF528D-08AA-4A66-B0D2-5F2074301B5E}"/>
    <cellStyle name="Monétaire 2 2 10 2" xfId="388" xr:uid="{0B6F9FD9-C34A-4F7F-B944-E7ADD17597BF}"/>
    <cellStyle name="Monétaire 2 2 11" xfId="256" xr:uid="{08D532BF-B1C5-4BE8-9338-A4E624FE157B}"/>
    <cellStyle name="Monétaire 2 2 11 2" xfId="533" xr:uid="{D33613BD-4025-44B2-A3A6-EC8176FD964D}"/>
    <cellStyle name="Monétaire 2 2 12" xfId="40" xr:uid="{30194AC4-43DE-447E-9EF1-6AC80ACA6504}"/>
    <cellStyle name="Monétaire 2 2 13" xfId="317" xr:uid="{87E78CF0-2810-43EA-AEBA-CD4DDE73AB12}"/>
    <cellStyle name="Monétaire 2 2 2" xfId="76" xr:uid="{751756E9-1336-4182-896D-A8A4D5817E9E}"/>
    <cellStyle name="Monétaire 2 2 2 2" xfId="192" xr:uid="{A310ED2B-AD4E-4C72-9DC8-6D277A4B62DA}"/>
    <cellStyle name="Monétaire 2 2 2 2 2" xfId="469" xr:uid="{CFF17796-6BD2-4553-9BE2-EFF572663862}"/>
    <cellStyle name="Monétaire 2 2 2 3" xfId="229" xr:uid="{AA5838F6-9537-4246-973E-F91A5619346E}"/>
    <cellStyle name="Monétaire 2 2 2 3 2" xfId="506" xr:uid="{19781282-81E7-4C63-B0C0-A86A782EA14D}"/>
    <cellStyle name="Monétaire 2 2 2 4" xfId="147" xr:uid="{F9C24CFA-3689-4ABC-8DEF-AB40C9F27C24}"/>
    <cellStyle name="Monétaire 2 2 2 4 2" xfId="424" xr:uid="{AFA76385-3CA0-45CF-8A17-CFF8ED398B85}"/>
    <cellStyle name="Monétaire 2 2 2 5" xfId="281" xr:uid="{CA86B6B6-F49E-4915-AD62-0E3FBF1B9EB7}"/>
    <cellStyle name="Monétaire 2 2 2 5 2" xfId="558" xr:uid="{1D0C8589-40D5-4361-BEA0-EA90677CF1B8}"/>
    <cellStyle name="Monétaire 2 2 2 6" xfId="353" xr:uid="{B979E0E5-959E-44ED-9918-45744D7BC98C}"/>
    <cellStyle name="Monétaire 2 2 3" xfId="82" xr:uid="{379CD19E-5134-414E-9B8B-414019E32803}"/>
    <cellStyle name="Monétaire 2 2 3 2" xfId="202" xr:uid="{0633A0BD-C085-4F2E-97BB-E7A8878A1B63}"/>
    <cellStyle name="Monétaire 2 2 3 2 2" xfId="479" xr:uid="{5E2ECA4A-B509-4C86-8550-70F535213418}"/>
    <cellStyle name="Monétaire 2 2 3 3" xfId="239" xr:uid="{FEE2C50A-D844-4088-9E73-B17D6A392D06}"/>
    <cellStyle name="Monétaire 2 2 3 3 2" xfId="516" xr:uid="{0CF2CEFB-5D4A-45BB-B466-EF467001BB48}"/>
    <cellStyle name="Monétaire 2 2 3 4" xfId="153" xr:uid="{0A7C43EE-94B1-4C45-BEB7-32839EB6652F}"/>
    <cellStyle name="Monétaire 2 2 3 4 2" xfId="430" xr:uid="{A7ACB4D8-07A3-4DAF-9F57-067ECD4FEE75}"/>
    <cellStyle name="Monétaire 2 2 3 5" xfId="287" xr:uid="{0DED99AD-0ED5-4925-9E1D-852361257F41}"/>
    <cellStyle name="Monétaire 2 2 3 5 2" xfId="564" xr:uid="{34B62ACA-A04B-49C8-8E43-7CE7EF6F5363}"/>
    <cellStyle name="Monétaire 2 2 3 6" xfId="359" xr:uid="{3016C656-01E5-4F72-BCE5-148D4DBB420C}"/>
    <cellStyle name="Monétaire 2 2 4" xfId="88" xr:uid="{B029ABE1-F2DB-4301-B6D9-BCC780B4DA43}"/>
    <cellStyle name="Monétaire 2 2 4 2" xfId="159" xr:uid="{EFDA4A68-D389-4385-846E-B81F2B025A77}"/>
    <cellStyle name="Monétaire 2 2 4 2 2" xfId="436" xr:uid="{A9C46383-41EE-4B35-9554-EF13C354CC9D}"/>
    <cellStyle name="Monétaire 2 2 4 3" xfId="293" xr:uid="{B95ACB84-0566-4863-BD3B-1AB017C900A3}"/>
    <cellStyle name="Monétaire 2 2 4 3 2" xfId="570" xr:uid="{6C503927-7F78-4E95-8772-1AB44C25DF75}"/>
    <cellStyle name="Monétaire 2 2 4 4" xfId="365" xr:uid="{09BD6F43-0507-4805-9F9A-01DE3A201B88}"/>
    <cellStyle name="Monétaire 2 2 5" xfId="66" xr:uid="{C484B0F2-15BD-4DC3-B9B8-40388A0ED6E7}"/>
    <cellStyle name="Monétaire 2 2 5 2" xfId="137" xr:uid="{DF710D99-AA04-4C24-B801-6B9C07A99AD6}"/>
    <cellStyle name="Monétaire 2 2 5 2 2" xfId="414" xr:uid="{E7EF78F1-6EA8-49F8-BDD5-AA860F1723B5}"/>
    <cellStyle name="Monétaire 2 2 5 3" xfId="275" xr:uid="{848B52B7-DA0E-401E-B53B-CE729E0F3540}"/>
    <cellStyle name="Monétaire 2 2 5 3 2" xfId="552" xr:uid="{F47267C7-9FA6-473D-A720-136723EA7610}"/>
    <cellStyle name="Monétaire 2 2 5 4" xfId="343" xr:uid="{FBA2051E-2A5E-443B-BD0C-AEEEF29E3DB3}"/>
    <cellStyle name="Monétaire 2 2 6" xfId="63" xr:uid="{969E1293-44E5-4249-8C15-DA03B47513A3}"/>
    <cellStyle name="Monétaire 2 2 6 2" xfId="134" xr:uid="{72AC5202-6936-4891-9B3E-F8DBF120020A}"/>
    <cellStyle name="Monétaire 2 2 6 2 2" xfId="411" xr:uid="{EEC18080-E3EC-4050-B124-E32DDD36DFB2}"/>
    <cellStyle name="Monétaire 2 2 6 3" xfId="269" xr:uid="{10FFACFB-DE3B-4654-BA2E-FC5DDE72FED1}"/>
    <cellStyle name="Monétaire 2 2 6 3 2" xfId="546" xr:uid="{A03AB9A0-EAD4-41F0-90FF-56033AADCD9C}"/>
    <cellStyle name="Monétaire 2 2 6 4" xfId="340" xr:uid="{10C68FB4-CAA5-41E1-A03A-37A06954E6D2}"/>
    <cellStyle name="Monétaire 2 2 7" xfId="50" xr:uid="{AF3F69FF-F207-45F0-866A-D75326B1BF29}"/>
    <cellStyle name="Monétaire 2 2 7 2" xfId="121" xr:uid="{CA2687FB-9A30-4D06-9F30-63564B732D50}"/>
    <cellStyle name="Monétaire 2 2 7 2 2" xfId="398" xr:uid="{0F1ED72D-7623-4D9E-AE22-2B266DD4D213}"/>
    <cellStyle name="Monétaire 2 2 7 3" xfId="327" xr:uid="{037DF6AD-9556-43CE-BFEE-F98F304D4900}"/>
    <cellStyle name="Monétaire 2 2 8" xfId="182" xr:uid="{CC88B1C0-AA82-4499-B3FA-94142F9E9A89}"/>
    <cellStyle name="Monétaire 2 2 8 2" xfId="459" xr:uid="{542E390A-5825-463E-82A8-9266EA559428}"/>
    <cellStyle name="Monétaire 2 2 9" xfId="219" xr:uid="{3F58E2DC-BF95-430F-99A3-6386D2C1A37E}"/>
    <cellStyle name="Monétaire 2 2 9 2" xfId="496" xr:uid="{4576373B-A77D-4AE5-A9DC-070B4A9676F2}"/>
    <cellStyle name="Monétaire 2 3" xfId="29" xr:uid="{F455FF1E-26A6-457F-A712-E86399FB4A42}"/>
    <cellStyle name="Monétaire 2 3 10" xfId="42" xr:uid="{0A8B2328-C48C-4EC6-9F69-4509E6C01B01}"/>
    <cellStyle name="Monétaire 2 3 11" xfId="319" xr:uid="{BC3A25A9-A3E4-4633-8722-6A646668D5B6}"/>
    <cellStyle name="Monétaire 2 3 2" xfId="78" xr:uid="{BFDBD2B3-8EA8-42F5-A126-8589B9590B6B}"/>
    <cellStyle name="Monétaire 2 3 2 2" xfId="194" xr:uid="{1881864E-3A7E-4967-929D-824436A0E6FC}"/>
    <cellStyle name="Monétaire 2 3 2 2 2" xfId="471" xr:uid="{E7E38B40-15EC-4904-9D0B-4230FE35C8B6}"/>
    <cellStyle name="Monétaire 2 3 2 3" xfId="231" xr:uid="{2E200E03-EF84-46B8-9DB4-785545F89A3F}"/>
    <cellStyle name="Monétaire 2 3 2 3 2" xfId="508" xr:uid="{78EC2AF0-17C2-4B94-B7F2-A5A0D6D5967C}"/>
    <cellStyle name="Monétaire 2 3 2 4" xfId="149" xr:uid="{32D72744-8B58-4C8B-A061-5B1CE3006FF1}"/>
    <cellStyle name="Monétaire 2 3 2 4 2" xfId="426" xr:uid="{F5BBF96B-FCFA-4421-856E-7D13321C8657}"/>
    <cellStyle name="Monétaire 2 3 2 5" xfId="278" xr:uid="{8923E6F9-FFBB-4DC7-B9BD-680AC86B21EF}"/>
    <cellStyle name="Monétaire 2 3 2 5 2" xfId="555" xr:uid="{3D10DAF6-6B73-4C7C-9124-A141028B816A}"/>
    <cellStyle name="Monétaire 2 3 2 6" xfId="355" xr:uid="{16EAD241-63E5-4680-8BD1-0047C1B8AA5B}"/>
    <cellStyle name="Monétaire 2 3 3" xfId="98" xr:uid="{C13BE08F-69D9-4B1F-B20B-B8E26A0E8BD4}"/>
    <cellStyle name="Monétaire 2 3 3 2" xfId="204" xr:uid="{E3669E83-B8CA-421B-AA88-466F7C07343B}"/>
    <cellStyle name="Monétaire 2 3 3 2 2" xfId="481" xr:uid="{6E73C636-A095-4902-9ED1-DC891A629F08}"/>
    <cellStyle name="Monétaire 2 3 3 3" xfId="241" xr:uid="{64C369CC-6448-48C0-8968-C553FB446BA8}"/>
    <cellStyle name="Monétaire 2 3 3 3 2" xfId="518" xr:uid="{0597E727-7440-478B-A290-24994E6F5ECD}"/>
    <cellStyle name="Monétaire 2 3 3 4" xfId="169" xr:uid="{FA0E59F8-AD01-4A39-8D65-11BA3E7A3021}"/>
    <cellStyle name="Monétaire 2 3 3 4 2" xfId="446" xr:uid="{4BBCC076-4DAD-4581-A238-A83B2D173520}"/>
    <cellStyle name="Monétaire 2 3 3 5" xfId="304" xr:uid="{BE6BFB2C-6F1D-4F2B-9911-54940433572A}"/>
    <cellStyle name="Monétaire 2 3 3 5 2" xfId="581" xr:uid="{97BD8407-09F0-4B49-B910-82C6D84F06D8}"/>
    <cellStyle name="Monétaire 2 3 3 6" xfId="375" xr:uid="{51608874-6B99-4D53-A9F3-042C4C391C7D}"/>
    <cellStyle name="Monétaire 2 3 4" xfId="65" xr:uid="{5291F14E-3D30-4101-B8EE-5FBC39AABCDD}"/>
    <cellStyle name="Monétaire 2 3 4 2" xfId="136" xr:uid="{14BBFC0E-1EB6-4A87-90DA-31C434BD6B1C}"/>
    <cellStyle name="Monétaire 2 3 4 2 2" xfId="413" xr:uid="{1CE79F15-45D8-47F1-9EC0-291EB7114EA1}"/>
    <cellStyle name="Monétaire 2 3 4 3" xfId="271" xr:uid="{DB7A0097-77C2-4EFB-BD21-FFEBA521B650}"/>
    <cellStyle name="Monétaire 2 3 4 3 2" xfId="548" xr:uid="{EA553ACB-20A8-499E-A04A-1F59C6F00B06}"/>
    <cellStyle name="Monétaire 2 3 4 4" xfId="342" xr:uid="{A7420557-F3DD-405C-A6E5-C1042FA12946}"/>
    <cellStyle name="Monétaire 2 3 5" xfId="52" xr:uid="{CDEDC103-E0E7-4BD1-A74E-7878DF378C0C}"/>
    <cellStyle name="Monétaire 2 3 5 2" xfId="123" xr:uid="{3975DDF1-7FFA-492A-8A07-BDF0D89FC023}"/>
    <cellStyle name="Monétaire 2 3 5 2 2" xfId="400" xr:uid="{4D585362-34D3-4231-8160-9F6D389D5213}"/>
    <cellStyle name="Monétaire 2 3 5 3" xfId="329" xr:uid="{6A47EA5B-021D-4C36-BDFE-F8B8892B090E}"/>
    <cellStyle name="Monétaire 2 3 6" xfId="184" xr:uid="{2789CE33-D25F-4E1F-B366-DB8150C0630E}"/>
    <cellStyle name="Monétaire 2 3 6 2" xfId="461" xr:uid="{8672822F-232A-4D0A-A868-EBC812CD9648}"/>
    <cellStyle name="Monétaire 2 3 7" xfId="221" xr:uid="{39538E2B-0E03-4844-BC7B-DC67C9BF34A3}"/>
    <cellStyle name="Monétaire 2 3 7 2" xfId="498" xr:uid="{3CF7461C-CE93-4B87-B96E-106F3ED43277}"/>
    <cellStyle name="Monétaire 2 3 8" xfId="113" xr:uid="{214E9489-F40B-4BE4-9C12-822D7BCCF887}"/>
    <cellStyle name="Monétaire 2 3 8 2" xfId="390" xr:uid="{045ED986-6532-468C-9011-FEEF7920380A}"/>
    <cellStyle name="Monétaire 2 3 9" xfId="258" xr:uid="{03909E50-10E3-45DF-B0AF-9C4FD45EF613}"/>
    <cellStyle name="Monétaire 2 3 9 2" xfId="535" xr:uid="{0552A4D9-B65D-4288-BA8B-C9DA00B45A42}"/>
    <cellStyle name="Monétaire 2 4" xfId="23" xr:uid="{2470FADA-C7D4-4D19-B84E-4B6E81554C8A}"/>
    <cellStyle name="Monétaire 2 4 10" xfId="36" xr:uid="{8B07AA1B-352A-4625-9523-1A867E5F6BE2}"/>
    <cellStyle name="Monétaire 2 4 11" xfId="313" xr:uid="{410043E3-39CC-449A-8F01-24DFA207ABE7}"/>
    <cellStyle name="Monétaire 2 4 2" xfId="72" xr:uid="{9EE3C2B1-9800-4F97-B536-0FA60E6E6426}"/>
    <cellStyle name="Monétaire 2 4 2 2" xfId="188" xr:uid="{55FA6EFE-96DD-4008-B7D0-C2F6BA692FED}"/>
    <cellStyle name="Monétaire 2 4 2 2 2" xfId="465" xr:uid="{3118B057-D82E-4CF2-81F5-C411C4B67AB9}"/>
    <cellStyle name="Monétaire 2 4 2 3" xfId="225" xr:uid="{51618597-1331-4E89-B28F-5CD9165871EB}"/>
    <cellStyle name="Monétaire 2 4 2 3 2" xfId="502" xr:uid="{2099DE16-37E8-41AF-90B2-B8280CA27069}"/>
    <cellStyle name="Monétaire 2 4 2 4" xfId="143" xr:uid="{2FBF34A7-9635-458E-A8A1-78F5F3E52F33}"/>
    <cellStyle name="Monétaire 2 4 2 4 2" xfId="420" xr:uid="{711AD4FC-035A-4233-87B6-4D15C8F434B7}"/>
    <cellStyle name="Monétaire 2 4 2 5" xfId="284" xr:uid="{8F791819-ED6C-49B0-8A73-D1664366F64B}"/>
    <cellStyle name="Monétaire 2 4 2 5 2" xfId="561" xr:uid="{BF2C7CAA-A8D2-4B8B-8B4C-B10C1442E1F3}"/>
    <cellStyle name="Monétaire 2 4 2 6" xfId="349" xr:uid="{6F931031-364B-4135-B76D-63C82B62794C}"/>
    <cellStyle name="Monétaire 2 4 3" xfId="95" xr:uid="{1BD2223F-4C68-424B-A5F5-CE6C6A48C575}"/>
    <cellStyle name="Monétaire 2 4 3 2" xfId="198" xr:uid="{E4CA7DC3-AEE4-4DEC-82A2-2EC14F2FBB11}"/>
    <cellStyle name="Monétaire 2 4 3 2 2" xfId="475" xr:uid="{C5627DBD-2F76-4255-A16A-457E3F670A92}"/>
    <cellStyle name="Monétaire 2 4 3 3" xfId="235" xr:uid="{E0B5DBF9-4B8F-45F1-9D41-30446B909871}"/>
    <cellStyle name="Monétaire 2 4 3 3 2" xfId="512" xr:uid="{EDB17602-5C27-4C91-BB02-B89417728D58}"/>
    <cellStyle name="Monétaire 2 4 3 4" xfId="166" xr:uid="{4547A42C-4A33-4355-9E9E-29B59E1E5BA6}"/>
    <cellStyle name="Monétaire 2 4 3 4 2" xfId="443" xr:uid="{1B3D1825-0C55-47C0-95A3-A0C1AABF3389}"/>
    <cellStyle name="Monétaire 2 4 3 5" xfId="301" xr:uid="{782E4D23-F09E-45D4-A6C5-3B22877863E7}"/>
    <cellStyle name="Monétaire 2 4 3 5 2" xfId="578" xr:uid="{45E87D5F-670A-48ED-B15D-2654AD063F7A}"/>
    <cellStyle name="Monétaire 2 4 3 6" xfId="372" xr:uid="{29F893B7-9202-493E-8F68-A3BCDA64B609}"/>
    <cellStyle name="Monétaire 2 4 4" xfId="59" xr:uid="{5451AFA2-AE7F-458E-B3D1-2C84F4A31A48}"/>
    <cellStyle name="Monétaire 2 4 4 2" xfId="130" xr:uid="{1EACE3E3-0EE2-4449-B7E9-E1E415552C4C}"/>
    <cellStyle name="Monétaire 2 4 4 2 2" xfId="407" xr:uid="{FF203033-2D02-4D15-BF6F-681E1417BC25}"/>
    <cellStyle name="Monétaire 2 4 4 3" xfId="265" xr:uid="{086572D0-94ED-4D21-9AD5-A31DE2F3750E}"/>
    <cellStyle name="Monétaire 2 4 4 3 2" xfId="542" xr:uid="{C2973002-7A4A-4AC1-A887-D2D90806F8ED}"/>
    <cellStyle name="Monétaire 2 4 4 4" xfId="336" xr:uid="{42142042-ADB3-4E4B-A632-BA708523678D}"/>
    <cellStyle name="Monétaire 2 4 5" xfId="46" xr:uid="{25008483-107B-42B0-A43A-303E0267B795}"/>
    <cellStyle name="Monétaire 2 4 5 2" xfId="117" xr:uid="{C43B3D66-B367-4E13-B344-234409F03472}"/>
    <cellStyle name="Monétaire 2 4 5 2 2" xfId="394" xr:uid="{8F409944-BA4E-4AAE-B40D-0CA2687FA19B}"/>
    <cellStyle name="Monétaire 2 4 5 3" xfId="323" xr:uid="{E5CF0F87-8B92-496C-BF4E-C5FFDA22C4E7}"/>
    <cellStyle name="Monétaire 2 4 6" xfId="178" xr:uid="{EA44F9C2-479A-44E8-90E9-4BD189DDB47E}"/>
    <cellStyle name="Monétaire 2 4 6 2" xfId="455" xr:uid="{04F0773D-E9B1-44F1-AB89-8DF6606DC196}"/>
    <cellStyle name="Monétaire 2 4 7" xfId="215" xr:uid="{4564922A-468B-4571-84D7-C7E7DB1268D1}"/>
    <cellStyle name="Monétaire 2 4 7 2" xfId="492" xr:uid="{573F5110-1C2A-4C41-B4DA-D89A497AF1AB}"/>
    <cellStyle name="Monétaire 2 4 8" xfId="107" xr:uid="{92877D69-FE10-4B83-A9B5-3C9E5D6EF362}"/>
    <cellStyle name="Monétaire 2 4 8 2" xfId="384" xr:uid="{283822B1-0F8B-451E-B0DF-8DDA9030FB4B}"/>
    <cellStyle name="Monétaire 2 4 9" xfId="252" xr:uid="{FA65A92E-3831-4CC2-9A5A-99C654F79B55}"/>
    <cellStyle name="Monétaire 2 4 9 2" xfId="529" xr:uid="{D97572C0-B378-4BEF-8133-C747DC15E42A}"/>
    <cellStyle name="Monétaire 2 5" xfId="20" xr:uid="{362BA49B-DE73-47FD-97CB-03A872E1362D}"/>
    <cellStyle name="Monétaire 2 5 2" xfId="85" xr:uid="{DFCD72B3-ECB8-472C-8B7B-0D39D09E7AFB}"/>
    <cellStyle name="Monétaire 2 5 2 2" xfId="156" xr:uid="{6B69F844-D16F-444E-9042-F1D12268687C}"/>
    <cellStyle name="Monétaire 2 5 2 2 2" xfId="433" xr:uid="{5CA644B9-D12A-47DD-9C30-BF216060F658}"/>
    <cellStyle name="Monétaire 2 5 2 3" xfId="290" xr:uid="{DAB7AE77-C622-4693-8277-5A6D68CDB21C}"/>
    <cellStyle name="Monétaire 2 5 2 3 2" xfId="567" xr:uid="{59B45767-112E-4AD5-9DEA-FEF6FC8F7D3B}"/>
    <cellStyle name="Monétaire 2 5 2 4" xfId="362" xr:uid="{8C1FBD1A-6E93-4CDD-BA34-84A7511C2C4C}"/>
    <cellStyle name="Monétaire 2 5 3" xfId="56" xr:uid="{DAE9191A-55AA-40EB-9850-0A5106EDDBC6}"/>
    <cellStyle name="Monétaire 2 5 3 2" xfId="127" xr:uid="{5A5D8128-1F8F-4BB4-8BC4-8D8809255AE1}"/>
    <cellStyle name="Monétaire 2 5 3 2 2" xfId="404" xr:uid="{CAEE44B5-3981-454E-87E5-5C16B5D7C586}"/>
    <cellStyle name="Monétaire 2 5 3 3" xfId="262" xr:uid="{98F8BBC5-FD92-427E-9B15-D15F04F5050D}"/>
    <cellStyle name="Monétaire 2 5 3 3 2" xfId="539" xr:uid="{1D518D37-D91C-4696-A8D0-0B4737BFB7C8}"/>
    <cellStyle name="Monétaire 2 5 3 4" xfId="333" xr:uid="{3066B2AF-9A38-4AC4-89D0-6BB77FBCEE87}"/>
    <cellStyle name="Monétaire 2 5 4" xfId="175" xr:uid="{04230859-FABB-4B79-A75D-E637604FD087}"/>
    <cellStyle name="Monétaire 2 5 4 2" xfId="452" xr:uid="{37AB75FD-6F75-4282-8533-81A3B5AEF2F8}"/>
    <cellStyle name="Monétaire 2 5 5" xfId="212" xr:uid="{C0EEB89E-8AE2-4303-B803-D2668CA41B91}"/>
    <cellStyle name="Monétaire 2 5 5 2" xfId="489" xr:uid="{32CEC1E6-A464-45A5-9E96-17D667A66190}"/>
    <cellStyle name="Monétaire 2 5 6" xfId="104" xr:uid="{CD8861BC-FD33-4402-BCDD-D7AFD065B91E}"/>
    <cellStyle name="Monétaire 2 5 6 2" xfId="381" xr:uid="{7E814C86-0098-4808-B226-44FD29175FDE}"/>
    <cellStyle name="Monétaire 2 5 7" xfId="249" xr:uid="{71249AAB-16BA-4A33-A8E2-3B577F81283E}"/>
    <cellStyle name="Monétaire 2 5 7 2" xfId="526" xr:uid="{BE5099EF-D210-4014-89B7-3997200473D9}"/>
    <cellStyle name="Monétaire 2 5 8" xfId="33" xr:uid="{82F10F16-A12C-499E-97C0-A32399BAA331}"/>
    <cellStyle name="Monétaire 2 5 9" xfId="310" xr:uid="{8262C3FE-9926-4C87-AB0D-22A10856AEBC}"/>
    <cellStyle name="Monétaire 2 6" xfId="68" xr:uid="{F79569B0-D6FC-402D-B290-458E24BABB62}"/>
    <cellStyle name="Monétaire 2 6 2" xfId="185" xr:uid="{8C8C9AA8-5A4A-4903-AEAB-5C13B6BC60E3}"/>
    <cellStyle name="Monétaire 2 6 2 2" xfId="462" xr:uid="{BC4677A8-5902-41C4-94FC-83C47E9674AF}"/>
    <cellStyle name="Monétaire 2 6 3" xfId="222" xr:uid="{EDE7D3BE-C58C-4C64-A2C8-0C6C798F10C2}"/>
    <cellStyle name="Monétaire 2 6 3 2" xfId="499" xr:uid="{A2EB80E5-327F-4C34-A359-10FC68F46A31}"/>
    <cellStyle name="Monétaire 2 6 4" xfId="139" xr:uid="{15B4E1CD-2433-430F-92E2-53F98FDA2A08}"/>
    <cellStyle name="Monétaire 2 6 4 2" xfId="416" xr:uid="{0B5CF46E-368B-4BEC-BDE9-307E7F4C950D}"/>
    <cellStyle name="Monétaire 2 6 5" xfId="272" xr:uid="{3CDE15C0-3BB4-4702-AC7D-B950098DB5A0}"/>
    <cellStyle name="Monétaire 2 6 5 2" xfId="549" xr:uid="{3002E192-62BE-46DB-99CB-3F42DDCB4A90}"/>
    <cellStyle name="Monétaire 2 6 6" xfId="345" xr:uid="{05A09C6D-E7A5-484B-AC37-3022C919E3DC}"/>
    <cellStyle name="Monétaire 2 7" xfId="94" xr:uid="{5CDF5EA8-F0AD-4E87-9C42-F1BBE7AA03A1}"/>
    <cellStyle name="Monétaire 2 7 2" xfId="195" xr:uid="{A04AEEB6-5522-44F4-800E-2AED66F6E44A}"/>
    <cellStyle name="Monétaire 2 7 2 2" xfId="472" xr:uid="{49DD7E6B-B530-49B5-902C-B7EA300763BB}"/>
    <cellStyle name="Monétaire 2 7 3" xfId="232" xr:uid="{E7A02D40-9334-471E-BFCA-B30229300C2B}"/>
    <cellStyle name="Monétaire 2 7 3 2" xfId="509" xr:uid="{48687752-BA45-4056-AD89-B97825F26CA5}"/>
    <cellStyle name="Monétaire 2 7 4" xfId="165" xr:uid="{B93EFB01-0E7A-41B3-B45D-C2601B968106}"/>
    <cellStyle name="Monétaire 2 7 4 2" xfId="442" xr:uid="{CABB4FDF-E6E2-4C65-8600-25281E8F56DC}"/>
    <cellStyle name="Monétaire 2 7 5" xfId="300" xr:uid="{0630BABF-E316-44B0-A2F0-8DB4433FD4C9}"/>
    <cellStyle name="Monétaire 2 7 5 2" xfId="577" xr:uid="{599F2FDE-649F-4F4B-9F5C-2D51949C9847}"/>
    <cellStyle name="Monétaire 2 7 6" xfId="371" xr:uid="{22EB5C47-DD5F-4DAE-AF9D-0062DF2F4085}"/>
    <cellStyle name="Monétaire 2 8" xfId="53" xr:uid="{D25E2309-3EBE-400B-9C5D-9D37CEFA7EAF}"/>
    <cellStyle name="Monétaire 2 8 2" xfId="124" xr:uid="{8C08D041-BB07-4DA9-B443-8A4C6DF73FD3}"/>
    <cellStyle name="Monétaire 2 8 2 2" xfId="401" xr:uid="{10FC0F4E-6B6D-45E8-83FD-E63BF8E0DF5D}"/>
    <cellStyle name="Monétaire 2 8 3" xfId="259" xr:uid="{603659F6-482A-4B0A-8555-687B0FE0B745}"/>
    <cellStyle name="Monétaire 2 8 3 2" xfId="536" xr:uid="{48CBE6E6-8D0E-4AE3-B980-2025AF95481A}"/>
    <cellStyle name="Monétaire 2 8 4" xfId="330" xr:uid="{5C21884A-5531-40AE-8B74-6829B386431A}"/>
    <cellStyle name="Monétaire 2 9" xfId="43" xr:uid="{CF4E8230-BCAA-4D88-8977-F8D7030C5DBF}"/>
    <cellStyle name="Monétaire 2 9 2" xfId="114" xr:uid="{359FFAD9-9262-4A4D-A660-2BD34C15C516}"/>
    <cellStyle name="Monétaire 2 9 2 2" xfId="391" xr:uid="{7307CAC1-1AA8-4890-B324-B0525E0DEA52}"/>
    <cellStyle name="Monétaire 2 9 3" xfId="320" xr:uid="{DF6949C8-7E8B-468C-9D81-F5023117EA5C}"/>
    <cellStyle name="Monétaire 3" xfId="26" xr:uid="{D1A20333-5823-4D74-B854-FD4B53FF7145}"/>
    <cellStyle name="Monétaire 3 10" xfId="255" xr:uid="{9F1DA526-EA46-4F80-A245-25B3680207BE}"/>
    <cellStyle name="Monétaire 3 10 2" xfId="532" xr:uid="{FBF0EE93-8C25-457B-87C2-5EE5B8FA905D}"/>
    <cellStyle name="Monétaire 3 11" xfId="39" xr:uid="{641BDAC9-9493-45C4-B94A-0181833EB250}"/>
    <cellStyle name="Monétaire 3 12" xfId="316" xr:uid="{E121F744-2246-44AD-951B-E6E44F4AAE1F}"/>
    <cellStyle name="Monétaire 3 2" xfId="75" xr:uid="{ADD9DC3F-1353-43BF-B888-1DEC0936D159}"/>
    <cellStyle name="Monétaire 3 2 2" xfId="191" xr:uid="{1EB691E6-935F-4DC2-993E-24D55B7DB0D4}"/>
    <cellStyle name="Monétaire 3 2 2 2" xfId="468" xr:uid="{E4C180AB-D73F-456F-B96D-42D3A86E0617}"/>
    <cellStyle name="Monétaire 3 2 3" xfId="228" xr:uid="{50D607F1-6772-4B62-85B5-147F0A4F0114}"/>
    <cellStyle name="Monétaire 3 2 3 2" xfId="505" xr:uid="{CD0A4094-44D2-4AE4-A266-A58FAB200C56}"/>
    <cellStyle name="Monétaire 3 2 4" xfId="146" xr:uid="{94D82CF3-70D6-45EB-86AD-356F8999E0B7}"/>
    <cellStyle name="Monétaire 3 2 4 2" xfId="423" xr:uid="{EB05E642-704C-423E-87B7-070EA7D6064F}"/>
    <cellStyle name="Monétaire 3 2 5" xfId="297" xr:uid="{1F8FB52A-B8E0-48E0-82F7-062974B1AD0E}"/>
    <cellStyle name="Monétaire 3 2 5 2" xfId="574" xr:uid="{A022964C-23DE-4D10-AB3A-ACAD4BF6C4A3}"/>
    <cellStyle name="Monétaire 3 2 6" xfId="352" xr:uid="{AEFAE74D-010D-4F3B-BD38-07A13EB2EC14}"/>
    <cellStyle name="Monétaire 3 3" xfId="96" xr:uid="{57A3BEC7-E98B-4B88-BD32-A65A7EC28602}"/>
    <cellStyle name="Monétaire 3 3 2" xfId="201" xr:uid="{7D15D680-6FDC-4CF7-85D7-DB0A6B15F7FD}"/>
    <cellStyle name="Monétaire 3 3 2 2" xfId="478" xr:uid="{8AFC1E6B-A352-455C-B1E1-6483E8FBBD0A}"/>
    <cellStyle name="Monétaire 3 3 3" xfId="238" xr:uid="{1AA1532F-F1F7-4195-9D71-252DADABD3B1}"/>
    <cellStyle name="Monétaire 3 3 3 2" xfId="515" xr:uid="{D804A9B5-BC7D-4705-89DB-ECDBA5407F25}"/>
    <cellStyle name="Monétaire 3 3 4" xfId="167" xr:uid="{F9633C8E-382D-4899-A09E-0336290CAEB8}"/>
    <cellStyle name="Monétaire 3 3 4 2" xfId="444" xr:uid="{EF9EC9FD-0C48-4A1C-93BC-BE0B0C0273AF}"/>
    <cellStyle name="Monétaire 3 3 5" xfId="302" xr:uid="{FEF131E6-466E-432A-939E-6A5AF8CFA7A1}"/>
    <cellStyle name="Monétaire 3 3 5 2" xfId="579" xr:uid="{545AE3FA-D43A-417C-8AD2-25FB5DC60108}"/>
    <cellStyle name="Monétaire 3 3 6" xfId="373" xr:uid="{96E4D48A-CAE3-44BE-8999-2B919374C5B4}"/>
    <cellStyle name="Monétaire 3 4" xfId="93" xr:uid="{D03B8C69-0C67-4A63-ABCE-FE77A70C212C}"/>
    <cellStyle name="Monétaire 3 4 2" xfId="164" xr:uid="{F9E5D177-6E59-424C-9C7E-1D19ECA8E195}"/>
    <cellStyle name="Monétaire 3 4 2 2" xfId="441" xr:uid="{7030BEDE-9606-4D30-9829-FA087E5158B1}"/>
    <cellStyle name="Monétaire 3 4 3" xfId="298" xr:uid="{2FB1F2B1-CB36-4A39-A876-3FFA8D87D477}"/>
    <cellStyle name="Monétaire 3 4 3 2" xfId="575" xr:uid="{EE4C3E68-8226-4B49-8125-E2941554628F}"/>
    <cellStyle name="Monétaire 3 4 4" xfId="370" xr:uid="{43EBED44-20F3-4B8B-8DBB-E840DC288352}"/>
    <cellStyle name="Monétaire 3 5" xfId="62" xr:uid="{29273F42-3701-42EB-AB13-1A13AB3C4E44}"/>
    <cellStyle name="Monétaire 3 5 2" xfId="133" xr:uid="{BFF0557E-F727-4C04-8A5F-7E8843B7F556}"/>
    <cellStyle name="Monétaire 3 5 2 2" xfId="410" xr:uid="{E98F372E-31CD-4934-B68A-1F13D349BED4}"/>
    <cellStyle name="Monétaire 3 5 3" xfId="268" xr:uid="{E28A1881-78F7-44E9-8100-1DF1062E8E04}"/>
    <cellStyle name="Monétaire 3 5 3 2" xfId="545" xr:uid="{4F8158A2-6918-4EB9-AB44-C1D2DC2BEC3A}"/>
    <cellStyle name="Monétaire 3 5 4" xfId="339" xr:uid="{89463804-343D-41C7-A623-2726717696A2}"/>
    <cellStyle name="Monétaire 3 6" xfId="49" xr:uid="{D69AFB18-7213-4AC8-871F-A84AD8A25FAA}"/>
    <cellStyle name="Monétaire 3 6 2" xfId="120" xr:uid="{DDA5C4B0-D692-4529-90ED-93F8C485AC69}"/>
    <cellStyle name="Monétaire 3 6 2 2" xfId="397" xr:uid="{1EDD90C2-E9E8-42D6-AA49-AAFCDC4C3B4C}"/>
    <cellStyle name="Monétaire 3 6 3" xfId="326" xr:uid="{0DCF5115-30D3-4221-A139-927DED12699C}"/>
    <cellStyle name="Monétaire 3 7" xfId="181" xr:uid="{8DAE694E-2708-4A81-899B-A8D90E8E334E}"/>
    <cellStyle name="Monétaire 3 7 2" xfId="458" xr:uid="{CB4A0EB7-523C-42FA-B57B-8FC9DB9A667F}"/>
    <cellStyle name="Monétaire 3 8" xfId="218" xr:uid="{AF349F19-9FDB-4332-8438-F4DD83550994}"/>
    <cellStyle name="Monétaire 3 8 2" xfId="495" xr:uid="{DD65F83B-6C34-40F0-A61B-1EC5A3AD561E}"/>
    <cellStyle name="Monétaire 3 9" xfId="110" xr:uid="{58398770-5F81-4EFB-9ADD-8875F06AD08A}"/>
    <cellStyle name="Monétaire 3 9 2" xfId="387" xr:uid="{ABB4CCD1-73B3-4DCA-ACC6-8BAB83E4F230}"/>
    <cellStyle name="Monétaire 4" xfId="28" xr:uid="{C16C4485-A9ED-49B9-B383-E9BA38E7DA7A}"/>
    <cellStyle name="Monétaire 4 10" xfId="257" xr:uid="{EF7F2E25-4B6D-40CD-93DB-283A88541CF3}"/>
    <cellStyle name="Monétaire 4 10 2" xfId="534" xr:uid="{FE5A3046-3DA2-4705-9169-31F0A1351F19}"/>
    <cellStyle name="Monétaire 4 11" xfId="41" xr:uid="{B96062F2-BE8E-4E50-8F52-39329544A770}"/>
    <cellStyle name="Monétaire 4 12" xfId="318" xr:uid="{C388A736-014E-4047-A4A2-4B8763AEA032}"/>
    <cellStyle name="Monétaire 4 2" xfId="77" xr:uid="{6EE2224B-47EA-4971-9E9A-525EBADF355C}"/>
    <cellStyle name="Monétaire 4 2 2" xfId="193" xr:uid="{B66361B5-F122-4B02-9DDA-1DF423AB8AF8}"/>
    <cellStyle name="Monétaire 4 2 2 2" xfId="470" xr:uid="{CD457026-F11E-4544-BCC8-99AF33BC31A0}"/>
    <cellStyle name="Monétaire 4 2 3" xfId="230" xr:uid="{84B3D5E0-AFA5-4CBD-9519-8AC699D9B1AC}"/>
    <cellStyle name="Monétaire 4 2 3 2" xfId="507" xr:uid="{F7939FF4-BFA0-4050-8BCA-B90F7BC26923}"/>
    <cellStyle name="Monétaire 4 2 4" xfId="148" xr:uid="{AFBBF080-48C5-4C1C-A7C3-87D8D164A825}"/>
    <cellStyle name="Monétaire 4 2 4 2" xfId="425" xr:uid="{9EE60F41-8F31-436F-89CD-7DF816F5BA1C}"/>
    <cellStyle name="Monétaire 4 2 5" xfId="299" xr:uid="{08DCBC9C-166F-4F09-89C7-11978C47A2F1}"/>
    <cellStyle name="Monétaire 4 2 5 2" xfId="576" xr:uid="{96C26BAA-7EA4-4C4B-9785-673818EA60C1}"/>
    <cellStyle name="Monétaire 4 2 6" xfId="354" xr:uid="{CF78C116-1FB0-4317-A091-0CE250DABB20}"/>
    <cellStyle name="Monétaire 4 3" xfId="97" xr:uid="{B3DA0F49-0A57-4871-B72A-7A68A5ACE0E7}"/>
    <cellStyle name="Monétaire 4 3 2" xfId="203" xr:uid="{0BD59FE8-00F1-463A-B867-A2D0AC010597}"/>
    <cellStyle name="Monétaire 4 3 2 2" xfId="480" xr:uid="{836EB406-6CB6-4073-98BA-F33A24824C59}"/>
    <cellStyle name="Monétaire 4 3 3" xfId="240" xr:uid="{1375EEC0-816C-4A97-85E1-EF3C53BF9422}"/>
    <cellStyle name="Monétaire 4 3 3 2" xfId="517" xr:uid="{415F8901-4086-4572-AA08-159033E845AB}"/>
    <cellStyle name="Monétaire 4 3 4" xfId="168" xr:uid="{7305EB6F-CD46-45EA-BE3F-AF83A17A6876}"/>
    <cellStyle name="Monétaire 4 3 4 2" xfId="445" xr:uid="{1C57D48F-ABB3-4383-AC6A-717E51E76486}"/>
    <cellStyle name="Monétaire 4 3 5" xfId="303" xr:uid="{C0517989-2112-4B20-AC77-482C5C088E44}"/>
    <cellStyle name="Monétaire 4 3 5 2" xfId="580" xr:uid="{59E60971-C119-4663-A1E4-3FCB23E04787}"/>
    <cellStyle name="Monétaire 4 3 6" xfId="374" xr:uid="{39D02155-1D0E-48C2-B11C-30147754DC06}"/>
    <cellStyle name="Monétaire 4 4" xfId="92" xr:uid="{8486A9B6-D2A9-4BB0-BFBE-1423F656DFA6}"/>
    <cellStyle name="Monétaire 4 4 2" xfId="163" xr:uid="{7EC59D47-F83B-4EA6-83D8-961D5832968B}"/>
    <cellStyle name="Monétaire 4 4 2 2" xfId="440" xr:uid="{D46C1AA4-ACB6-47DD-8873-0029529BB911}"/>
    <cellStyle name="Monétaire 4 4 3" xfId="296" xr:uid="{FCDABCA4-C0B0-491D-907E-9BCCD46F1FF8}"/>
    <cellStyle name="Monétaire 4 4 3 2" xfId="573" xr:uid="{8A3AEBE0-D1D4-4D91-9CC1-11C62721CDF5}"/>
    <cellStyle name="Monétaire 4 4 4" xfId="369" xr:uid="{483034A4-93AB-450A-B65D-F228B96B936E}"/>
    <cellStyle name="Monétaire 4 5" xfId="64" xr:uid="{059A12BC-2246-469B-B240-96B609CDF864}"/>
    <cellStyle name="Monétaire 4 5 2" xfId="135" xr:uid="{09A55521-F8F7-41C9-8C57-09342C3E3E38}"/>
    <cellStyle name="Monétaire 4 5 2 2" xfId="412" xr:uid="{6565B84B-0180-41B0-A6D6-0FC13E798022}"/>
    <cellStyle name="Monétaire 4 5 3" xfId="270" xr:uid="{27644116-3C2D-44BF-91E2-6CAA10A70D52}"/>
    <cellStyle name="Monétaire 4 5 3 2" xfId="547" xr:uid="{C2A578C7-62EC-42F8-BB32-A6405687DA21}"/>
    <cellStyle name="Monétaire 4 5 4" xfId="341" xr:uid="{59083127-62FA-4521-823C-8A4347770E1B}"/>
    <cellStyle name="Monétaire 4 6" xfId="51" xr:uid="{C522D877-9F3A-466E-9607-5B113FC5005D}"/>
    <cellStyle name="Monétaire 4 6 2" xfId="122" xr:uid="{47CFA96E-8696-4D33-9412-CF828ADB3BC2}"/>
    <cellStyle name="Monétaire 4 6 2 2" xfId="399" xr:uid="{E3DFB7F4-4360-4EC7-9359-C8FEB58981D0}"/>
    <cellStyle name="Monétaire 4 6 3" xfId="328" xr:uid="{0E50B78F-BECA-4D77-8994-5324D9BF28B8}"/>
    <cellStyle name="Monétaire 4 7" xfId="183" xr:uid="{79767C24-2EF0-4EC7-B5B5-487BE19EF705}"/>
    <cellStyle name="Monétaire 4 7 2" xfId="460" xr:uid="{C2068973-D8F0-4BEE-9859-FA6C0E3EDF2B}"/>
    <cellStyle name="Monétaire 4 8" xfId="220" xr:uid="{99F12B2A-8C15-44DC-8C6D-B6C999EB7DE8}"/>
    <cellStyle name="Monétaire 4 8 2" xfId="497" xr:uid="{B45348ED-D0FF-4A1C-866D-F7D4BBF24EB5}"/>
    <cellStyle name="Monétaire 4 9" xfId="112" xr:uid="{84D4F3FB-D975-4885-8E27-ADE0690CCD5F}"/>
    <cellStyle name="Monétaire 4 9 2" xfId="389" xr:uid="{3F4B1446-0E50-4C84-AF9C-F03C90CBAD64}"/>
    <cellStyle name="NiveauLigne_1" xfId="1" builtinId="1" iLevel="0"/>
    <cellStyle name="Normal" xfId="0" builtinId="0"/>
    <cellStyle name="Normal 2" xfId="10" xr:uid="{00000000-0005-0000-0000-00000A000000}"/>
    <cellStyle name="Normal 3" xfId="5" xr:uid="{00000000-0005-0000-0000-00000B000000}"/>
    <cellStyle name="Normal 4" xfId="11" xr:uid="{00000000-0005-0000-0000-00000C000000}"/>
    <cellStyle name="Normal 5" xfId="17" xr:uid="{B81C3CE2-173D-480B-937F-AC936F5930C8}"/>
    <cellStyle name="Normal 5 10" xfId="173" xr:uid="{215D41F3-196F-4A66-91AC-15C961A59786}"/>
    <cellStyle name="Normal 5 10 2" xfId="450" xr:uid="{BE258FE4-656D-43DB-A1EA-1A79FF502F96}"/>
    <cellStyle name="Normal 5 11" xfId="210" xr:uid="{4D6DC871-7788-4381-B8E4-05613EAE14AC}"/>
    <cellStyle name="Normal 5 11 2" xfId="487" xr:uid="{49083BCC-02F7-4D6B-97F0-3736DC1FE782}"/>
    <cellStyle name="Normal 5 12" xfId="102" xr:uid="{C25D2FD8-53FA-4969-8446-38BC5636846D}"/>
    <cellStyle name="Normal 5 12 2" xfId="379" xr:uid="{7AD0A092-9ABA-4C50-BF4E-D0FB53605773}"/>
    <cellStyle name="Normal 5 13" xfId="247" xr:uid="{3BBD4281-2CBE-4571-A18A-7FC49ABFA162}"/>
    <cellStyle name="Normal 5 13 2" xfId="524" xr:uid="{2F7B876F-9C98-4E4B-A1ED-1490DE74A55E}"/>
    <cellStyle name="Normal 5 14" xfId="31" xr:uid="{39331BCD-43DF-4DA6-BE60-F22DCECA9534}"/>
    <cellStyle name="Normal 5 15" xfId="308" xr:uid="{337BEC91-A2A0-4804-BC39-00F46D29612D}"/>
    <cellStyle name="Normal 5 2" xfId="18" xr:uid="{CF5CA02D-BC20-40A6-AA56-E8B9C0413BD1}"/>
    <cellStyle name="Normal 5 2 10" xfId="211" xr:uid="{F856B13C-E466-4D07-BF37-714BD73618CD}"/>
    <cellStyle name="Normal 5 2 10 2" xfId="488" xr:uid="{9F2CDC05-7CDE-4A23-AEA2-7F5AA97DF4E1}"/>
    <cellStyle name="Normal 5 2 11" xfId="103" xr:uid="{37482E92-CE3C-4F2B-BA70-9E2EAB00B0B4}"/>
    <cellStyle name="Normal 5 2 11 2" xfId="380" xr:uid="{6251D4DD-CD73-45B3-8132-49EB0284E361}"/>
    <cellStyle name="Normal 5 2 12" xfId="248" xr:uid="{35FFE869-FA4C-4703-843C-1175C7BC3333}"/>
    <cellStyle name="Normal 5 2 12 2" xfId="525" xr:uid="{5B823085-2BC7-4EE2-9DAB-0F367DAD591F}"/>
    <cellStyle name="Normal 5 2 13" xfId="32" xr:uid="{53043001-135A-4B82-809A-DA43F5BD564A}"/>
    <cellStyle name="Normal 5 2 14" xfId="309" xr:uid="{35D01842-1B1C-4BEC-9D84-AC1ECAEF8E36}"/>
    <cellStyle name="Normal 5 2 2" xfId="25" xr:uid="{25CEB67A-B6B2-4F44-948F-BA41AD211336}"/>
    <cellStyle name="Normal 5 2 2 10" xfId="109" xr:uid="{A73DC6B9-F360-41DF-BE74-9834E58B7B1F}"/>
    <cellStyle name="Normal 5 2 2 10 2" xfId="386" xr:uid="{05ED78D4-079C-4E8E-9E00-FFCFD99125AC}"/>
    <cellStyle name="Normal 5 2 2 11" xfId="254" xr:uid="{8CD31BAC-D974-4DC5-BF51-2A52E50FE025}"/>
    <cellStyle name="Normal 5 2 2 11 2" xfId="531" xr:uid="{44C2C390-0B73-4C6E-9CCD-F4BA3BEC8934}"/>
    <cellStyle name="Normal 5 2 2 12" xfId="38" xr:uid="{F694CF6D-F6C9-44AE-8075-F7C7C05D1C41}"/>
    <cellStyle name="Normal 5 2 2 13" xfId="315" xr:uid="{99A3DD5C-C32D-403D-8F3A-09461B5F3022}"/>
    <cellStyle name="Normal 5 2 2 2" xfId="74" xr:uid="{D91F12C1-7A68-4140-AAA8-34919EBE802D}"/>
    <cellStyle name="Normal 5 2 2 2 2" xfId="190" xr:uid="{251DD262-5B84-4FAA-B846-06EC602AC787}"/>
    <cellStyle name="Normal 5 2 2 2 2 2" xfId="467" xr:uid="{6F1136FC-2BE7-4417-9690-791B19C085FE}"/>
    <cellStyle name="Normal 5 2 2 2 3" xfId="227" xr:uid="{43EF6DCE-2FD6-4273-A9B0-101F9414D8EF}"/>
    <cellStyle name="Normal 5 2 2 2 3 2" xfId="504" xr:uid="{F2DDF5A0-F25B-4C7B-861B-19773A9D3198}"/>
    <cellStyle name="Normal 5 2 2 2 4" xfId="145" xr:uid="{A9A6E8BC-D5BB-44EC-B43A-A353741087F9}"/>
    <cellStyle name="Normal 5 2 2 2 4 2" xfId="422" xr:uid="{0B693FB1-BFD2-4C82-91EE-AED8931D14E4}"/>
    <cellStyle name="Normal 5 2 2 2 5" xfId="283" xr:uid="{47C1C18E-C5F2-43AC-9615-839B121A144A}"/>
    <cellStyle name="Normal 5 2 2 2 5 2" xfId="560" xr:uid="{7B61A9B9-66D4-4223-9918-AF4F75772B52}"/>
    <cellStyle name="Normal 5 2 2 2 6" xfId="351" xr:uid="{B4448E5A-8289-4134-B5BB-4AC0E4413CCB}"/>
    <cellStyle name="Normal 5 2 2 3" xfId="84" xr:uid="{E4A60FE1-763A-40F1-AC86-9DF061F515FF}"/>
    <cellStyle name="Normal 5 2 2 3 2" xfId="200" xr:uid="{0D602BC5-10FE-4EE0-9DE1-223D257F3A1C}"/>
    <cellStyle name="Normal 5 2 2 3 2 2" xfId="477" xr:uid="{A5272414-83CD-4B5C-BC16-2C396E78D4C1}"/>
    <cellStyle name="Normal 5 2 2 3 3" xfId="237" xr:uid="{CFC25579-52BF-432B-86E0-3C50ABC9B0C7}"/>
    <cellStyle name="Normal 5 2 2 3 3 2" xfId="514" xr:uid="{84D459E4-CE64-4F13-A48B-DDF7DE77A435}"/>
    <cellStyle name="Normal 5 2 2 3 4" xfId="155" xr:uid="{1C0B9EBC-C359-43E3-A0BF-13D4A3BF5023}"/>
    <cellStyle name="Normal 5 2 2 3 4 2" xfId="432" xr:uid="{A809FB13-7CBF-460A-94F3-BAE7CBC2AE17}"/>
    <cellStyle name="Normal 5 2 2 3 5" xfId="289" xr:uid="{9D80BE56-5CDA-4994-B274-3CDC61559EF5}"/>
    <cellStyle name="Normal 5 2 2 3 5 2" xfId="566" xr:uid="{15E96E6D-D339-4CD1-81BB-83058DE30EC9}"/>
    <cellStyle name="Normal 5 2 2 3 6" xfId="361" xr:uid="{601191D4-B018-478F-96C8-8A4BAFBC6834}"/>
    <cellStyle name="Normal 5 2 2 4" xfId="90" xr:uid="{4DE80C0C-9828-4B18-860D-A2BFACD59312}"/>
    <cellStyle name="Normal 5 2 2 4 2" xfId="161" xr:uid="{DDD5EAB4-FECE-4022-97AE-03ECA71D4130}"/>
    <cellStyle name="Normal 5 2 2 4 2 2" xfId="438" xr:uid="{8639FE1E-3C58-43DA-B562-5802908800A3}"/>
    <cellStyle name="Normal 5 2 2 4 3" xfId="295" xr:uid="{85C004B1-3E92-43C0-B89E-CB9B291FF195}"/>
    <cellStyle name="Normal 5 2 2 4 3 2" xfId="572" xr:uid="{5AED2751-690D-4C68-845B-BBE2006B9AD0}"/>
    <cellStyle name="Normal 5 2 2 4 4" xfId="367" xr:uid="{14B5DBBF-F758-4FD3-A593-ADE6485D5164}"/>
    <cellStyle name="Normal 5 2 2 5" xfId="71" xr:uid="{F4A0A9C0-168F-4885-8987-7A95D9D0C2E8}"/>
    <cellStyle name="Normal 5 2 2 5 2" xfId="142" xr:uid="{522DCDF3-50DE-499C-BCE4-539CBEF44FDE}"/>
    <cellStyle name="Normal 5 2 2 5 2 2" xfId="419" xr:uid="{E5ADFB46-916D-4EE4-95ED-38853FD8DB42}"/>
    <cellStyle name="Normal 5 2 2 5 3" xfId="277" xr:uid="{4B22AF2D-C8E2-4FC9-89CD-1B983F68CD78}"/>
    <cellStyle name="Normal 5 2 2 5 3 2" xfId="554" xr:uid="{BB14A2A6-2127-4727-A669-F4EBF4548564}"/>
    <cellStyle name="Normal 5 2 2 5 4" xfId="348" xr:uid="{A0DE648F-FF8D-40CD-9BB9-2EED9DB9071F}"/>
    <cellStyle name="Normal 5 2 2 6" xfId="61" xr:uid="{079098A2-D546-469F-B0AA-6FCE83F6BC00}"/>
    <cellStyle name="Normal 5 2 2 6 2" xfId="132" xr:uid="{C90BA67A-915F-49F1-92CD-0B48AF4F01FD}"/>
    <cellStyle name="Normal 5 2 2 6 2 2" xfId="409" xr:uid="{2BC49742-A4E0-4ED7-92BF-C70778882BCA}"/>
    <cellStyle name="Normal 5 2 2 6 3" xfId="267" xr:uid="{E795F059-3786-456B-93E9-B28A2ED97897}"/>
    <cellStyle name="Normal 5 2 2 6 3 2" xfId="544" xr:uid="{8CC6E410-7D07-4B78-AE1C-6E5C41CD66F6}"/>
    <cellStyle name="Normal 5 2 2 6 4" xfId="338" xr:uid="{7E6E3449-AFB2-4BF7-9520-D14D414497F0}"/>
    <cellStyle name="Normal 5 2 2 7" xfId="48" xr:uid="{BBDA3918-CC61-4EDD-89D0-CF9518C9EB61}"/>
    <cellStyle name="Normal 5 2 2 7 2" xfId="119" xr:uid="{1F95002A-9C2C-48B6-9AF0-2394F879E8A9}"/>
    <cellStyle name="Normal 5 2 2 7 2 2" xfId="396" xr:uid="{2C6A3BA6-5797-4382-93CF-D7813BB0B787}"/>
    <cellStyle name="Normal 5 2 2 7 3" xfId="325" xr:uid="{EA64D870-7B89-4F4B-887C-4FDC2888DBB5}"/>
    <cellStyle name="Normal 5 2 2 8" xfId="180" xr:uid="{35600DE4-C5CC-4332-BB05-22BEE692CA41}"/>
    <cellStyle name="Normal 5 2 2 8 2" xfId="457" xr:uid="{DFD3CBE7-976F-4E74-838E-49FF9526C37A}"/>
    <cellStyle name="Normal 5 2 2 9" xfId="217" xr:uid="{6A5BF3AC-F114-4DB7-B0E3-3343F541C067}"/>
    <cellStyle name="Normal 5 2 2 9 2" xfId="494" xr:uid="{9DE086DF-F788-4825-B4FC-5EB0EBC93A1D}"/>
    <cellStyle name="Normal 5 2 3" xfId="22" xr:uid="{0DD1AB5D-C4B0-4287-B390-0B8D6F9A40CF}"/>
    <cellStyle name="Normal 5 2 3 2" xfId="80" xr:uid="{709397AD-C76F-4863-9186-F20A7D9B5D85}"/>
    <cellStyle name="Normal 5 2 3 2 2" xfId="208" xr:uid="{2E4A98AA-57A1-4F77-8818-4334474E0C20}"/>
    <cellStyle name="Normal 5 2 3 2 2 2" xfId="485" xr:uid="{9B830474-0777-48C8-9417-F41BBEC44E97}"/>
    <cellStyle name="Normal 5 2 3 2 3" xfId="245" xr:uid="{9546A3D6-0640-400E-A90C-4BF063BD8D23}"/>
    <cellStyle name="Normal 5 2 3 2 3 2" xfId="522" xr:uid="{CF11B691-E7DE-4CF9-9FCB-203BA1DE9E64}"/>
    <cellStyle name="Normal 5 2 3 2 4" xfId="151" xr:uid="{42DD11E2-B647-4B39-9162-F3D73F07ED76}"/>
    <cellStyle name="Normal 5 2 3 2 4 2" xfId="428" xr:uid="{555346F7-84B4-48B6-94C2-296283A10A67}"/>
    <cellStyle name="Normal 5 2 3 2 5" xfId="280" xr:uid="{D5127D45-D031-4D23-97AB-72FD39BA23FF}"/>
    <cellStyle name="Normal 5 2 3 2 5 2" xfId="557" xr:uid="{4CC96B5A-150B-4E16-9795-8237F22E571C}"/>
    <cellStyle name="Normal 5 2 3 2 6" xfId="357" xr:uid="{E3EF2DA3-4B61-4E1B-BABB-A5B13BEEEE07}"/>
    <cellStyle name="Normal 5 2 3 3" xfId="58" xr:uid="{707F5ABE-502C-4E9E-B014-77BB90FC9B2F}"/>
    <cellStyle name="Normal 5 2 3 3 2" xfId="129" xr:uid="{62AD8756-72C8-44C9-923B-32A60D0AB844}"/>
    <cellStyle name="Normal 5 2 3 3 2 2" xfId="406" xr:uid="{0004A3BC-5778-464D-89E1-336E5FB97B20}"/>
    <cellStyle name="Normal 5 2 3 3 3" xfId="264" xr:uid="{7A2DB68F-3A62-4350-A1D7-E75D156F32E6}"/>
    <cellStyle name="Normal 5 2 3 3 3 2" xfId="541" xr:uid="{9B356176-0510-4C53-8A35-333364F7D96D}"/>
    <cellStyle name="Normal 5 2 3 3 4" xfId="335" xr:uid="{A6094BEB-9C32-43F8-964F-6F9A7D617BAF}"/>
    <cellStyle name="Normal 5 2 3 4" xfId="177" xr:uid="{BA42067F-810F-43FB-916B-05E9920704E5}"/>
    <cellStyle name="Normal 5 2 3 4 2" xfId="454" xr:uid="{981C6B42-9FB8-4229-8CE3-8FED928FF998}"/>
    <cellStyle name="Normal 5 2 3 5" xfId="214" xr:uid="{1133BAB8-324F-488E-8815-5F446B138445}"/>
    <cellStyle name="Normal 5 2 3 5 2" xfId="491" xr:uid="{D32A8B0A-5525-4777-A0F3-3AFBBF435ED7}"/>
    <cellStyle name="Normal 5 2 3 6" xfId="106" xr:uid="{8B1F2E93-4959-4F46-A5DE-5BFA74BCED71}"/>
    <cellStyle name="Normal 5 2 3 6 2" xfId="383" xr:uid="{DAFEDDF2-5660-45DB-B8C0-0D52DC4D7FA5}"/>
    <cellStyle name="Normal 5 2 3 7" xfId="251" xr:uid="{226653AE-F01F-4C99-9E1A-F6982A21613C}"/>
    <cellStyle name="Normal 5 2 3 7 2" xfId="528" xr:uid="{1AEB05EF-65B0-4B4D-9E2B-F70F538D0CF7}"/>
    <cellStyle name="Normal 5 2 3 8" xfId="35" xr:uid="{0893A074-8E3B-4E40-82B8-7E76003A37CA}"/>
    <cellStyle name="Normal 5 2 3 9" xfId="312" xr:uid="{D977A401-1E00-403D-AAB8-4303D895C76E}"/>
    <cellStyle name="Normal 5 2 4" xfId="70" xr:uid="{DC4D5EBC-B8A1-454E-8F4C-23970831E606}"/>
    <cellStyle name="Normal 5 2 4 2" xfId="100" xr:uid="{D4B60815-CBE3-4E12-98D4-039AA59B191F}"/>
    <cellStyle name="Normal 5 2 4 2 2" xfId="207" xr:uid="{BCAEE138-8BB0-4B53-925A-64397B8C84F4}"/>
    <cellStyle name="Normal 5 2 4 2 2 2" xfId="484" xr:uid="{44E6CF44-4701-4094-AD98-22BAE75057E5}"/>
    <cellStyle name="Normal 5 2 4 2 3" xfId="244" xr:uid="{80D6AA0F-BA76-4B9D-ADE8-B59D5E47828E}"/>
    <cellStyle name="Normal 5 2 4 2 3 2" xfId="521" xr:uid="{39FD09AF-D907-4BDD-8AC2-DD8756560CA5}"/>
    <cellStyle name="Normal 5 2 4 2 4" xfId="171" xr:uid="{77BA2472-65AC-46C3-BCEA-7A5E016E58B1}"/>
    <cellStyle name="Normal 5 2 4 2 4 2" xfId="448" xr:uid="{F0AC587E-1360-4167-A4A1-15AF8FD6B5DA}"/>
    <cellStyle name="Normal 5 2 4 2 5" xfId="306" xr:uid="{E70DB2BB-5E0D-415D-B90B-B6A6EEC3F391}"/>
    <cellStyle name="Normal 5 2 4 2 5 2" xfId="583" xr:uid="{B4FEEE69-1BE6-48EB-AF8B-ADF8E294ADB8}"/>
    <cellStyle name="Normal 5 2 4 2 6" xfId="377" xr:uid="{848FC0B0-770F-4C6E-8E63-874BDA0F37FF}"/>
    <cellStyle name="Normal 5 2 4 3" xfId="187" xr:uid="{6B5568A4-B782-4622-BE1F-9DAB4A024323}"/>
    <cellStyle name="Normal 5 2 4 3 2" xfId="464" xr:uid="{63BF3546-8838-493C-8EA4-FBAA61D2CF5E}"/>
    <cellStyle name="Normal 5 2 4 4" xfId="224" xr:uid="{1810A219-DE1C-4526-8B5E-2896EC294148}"/>
    <cellStyle name="Normal 5 2 4 4 2" xfId="501" xr:uid="{6B8431E9-1CA1-4D84-89FA-8612356BACB7}"/>
    <cellStyle name="Normal 5 2 4 5" xfId="141" xr:uid="{973D7A01-AEA6-4915-A119-6A0282B083BB}"/>
    <cellStyle name="Normal 5 2 4 5 2" xfId="418" xr:uid="{5B13E5C2-6C6C-4B12-973F-0707D398C839}"/>
    <cellStyle name="Normal 5 2 4 6" xfId="286" xr:uid="{875467B3-1ACE-4271-BC59-A103133C39D9}"/>
    <cellStyle name="Normal 5 2 4 6 2" xfId="563" xr:uid="{65818B90-3747-4CE5-8E63-D5F10DE42886}"/>
    <cellStyle name="Normal 5 2 4 7" xfId="347" xr:uid="{DF69C874-7ABB-425B-944D-990739927B48}"/>
    <cellStyle name="Normal 5 2 5" xfId="87" xr:uid="{EF8D31A2-496F-45E1-8FF6-57B967A87234}"/>
    <cellStyle name="Normal 5 2 5 2" xfId="197" xr:uid="{BB72D9AD-FBDD-4E86-9B66-91070FE196B9}"/>
    <cellStyle name="Normal 5 2 5 2 2" xfId="474" xr:uid="{B3E2DF6A-7267-40EC-AE1B-606A8892736A}"/>
    <cellStyle name="Normal 5 2 5 3" xfId="234" xr:uid="{B0E31639-6429-4616-9D5D-B9A03B739780}"/>
    <cellStyle name="Normal 5 2 5 3 2" xfId="511" xr:uid="{0AC62BBA-ED6F-49E2-9413-4E27A274B7CD}"/>
    <cellStyle name="Normal 5 2 5 4" xfId="158" xr:uid="{9319A1A4-254D-4135-AE37-4CAA04E44087}"/>
    <cellStyle name="Normal 5 2 5 4 2" xfId="435" xr:uid="{639A7052-D543-430E-A0B6-38DC615831EF}"/>
    <cellStyle name="Normal 5 2 5 5" xfId="292" xr:uid="{2D696BA5-9B47-4F19-A1B1-0B1FDAE03B1A}"/>
    <cellStyle name="Normal 5 2 5 5 2" xfId="569" xr:uid="{53FE064B-4794-44AC-9A8D-0ABFD91DDD91}"/>
    <cellStyle name="Normal 5 2 5 6" xfId="364" xr:uid="{2B75F9B6-AC18-4BBE-9837-5A56BF3C6B47}"/>
    <cellStyle name="Normal 5 2 6" xfId="67" xr:uid="{C876F9D9-25B8-40E0-9199-C9DDA73921E0}"/>
    <cellStyle name="Normal 5 2 6 2" xfId="138" xr:uid="{EDAEDB91-1F52-4418-B5F7-A1CA0AF54C02}"/>
    <cellStyle name="Normal 5 2 6 2 2" xfId="415" xr:uid="{5FC017D2-BA2D-47AD-8310-A826A18AAA67}"/>
    <cellStyle name="Normal 5 2 6 3" xfId="274" xr:uid="{61D58B24-E644-445B-BBB3-0C73AFA1B8B7}"/>
    <cellStyle name="Normal 5 2 6 3 2" xfId="551" xr:uid="{CEB4103F-8F76-4241-958C-B458F69FEE5C}"/>
    <cellStyle name="Normal 5 2 6 4" xfId="344" xr:uid="{3F8AD7BB-33B7-42A3-9B40-28D8FC950F32}"/>
    <cellStyle name="Normal 5 2 7" xfId="55" xr:uid="{8109B178-5ACE-4F08-BCD9-EE155490A964}"/>
    <cellStyle name="Normal 5 2 7 2" xfId="126" xr:uid="{1DA251B4-1139-4F8E-9158-B56B84806FC9}"/>
    <cellStyle name="Normal 5 2 7 2 2" xfId="403" xr:uid="{637CEA82-A8E4-4F86-B813-5CA3DA54DB8C}"/>
    <cellStyle name="Normal 5 2 7 3" xfId="261" xr:uid="{CA0D8A14-95B9-4A80-A53B-7F45807A44A6}"/>
    <cellStyle name="Normal 5 2 7 3 2" xfId="538" xr:uid="{FEFD7DDB-5D82-4CF7-9754-15534EB3A8B1}"/>
    <cellStyle name="Normal 5 2 7 4" xfId="332" xr:uid="{2C0446E0-416F-44FC-A515-46DF9EB0FEFA}"/>
    <cellStyle name="Normal 5 2 8" xfId="45" xr:uid="{3B4A8C92-7D26-450F-AB66-32F9885D5061}"/>
    <cellStyle name="Normal 5 2 8 2" xfId="116" xr:uid="{50DD4849-B87D-4B11-98D6-F079FA6E1F44}"/>
    <cellStyle name="Normal 5 2 8 2 2" xfId="393" xr:uid="{698EDE50-AC8C-40F1-8744-2A4BF1CEC0DE}"/>
    <cellStyle name="Normal 5 2 8 3" xfId="322" xr:uid="{6E19153B-2DC5-4206-BB8F-08669D062962}"/>
    <cellStyle name="Normal 5 2 9" xfId="174" xr:uid="{4810F50B-4C3A-4347-9EEB-48BE22732B6E}"/>
    <cellStyle name="Normal 5 2 9 2" xfId="451" xr:uid="{80AD9697-1AA8-42FE-95D2-4BC715BD4B35}"/>
    <cellStyle name="Normal 5 3" xfId="24" xr:uid="{7CB3E3A9-AF42-441B-95D9-1CD484CD8B74}"/>
    <cellStyle name="Normal 5 3 10" xfId="108" xr:uid="{2576D6CE-6753-4CC9-AC7B-3879E3C06EDD}"/>
    <cellStyle name="Normal 5 3 10 2" xfId="385" xr:uid="{09617BE0-436A-438F-AAB8-15CEED931E35}"/>
    <cellStyle name="Normal 5 3 11" xfId="253" xr:uid="{5571DE87-6464-4ACA-A29F-37EF81AF3444}"/>
    <cellStyle name="Normal 5 3 11 2" xfId="530" xr:uid="{14CB2E5C-9562-4CCC-B4D9-EC8917867E96}"/>
    <cellStyle name="Normal 5 3 12" xfId="37" xr:uid="{0FF6D7BB-9DE9-4AD0-9FE6-50F4C612E4FF}"/>
    <cellStyle name="Normal 5 3 13" xfId="314" xr:uid="{F650088C-52F8-486A-9AAD-42C5F83308C8}"/>
    <cellStyle name="Normal 5 3 2" xfId="73" xr:uid="{9DF111EB-822A-4268-B192-965BFD26E3EB}"/>
    <cellStyle name="Normal 5 3 2 2" xfId="189" xr:uid="{E3C5EC4B-1FBC-4505-8AFB-B45B824230E9}"/>
    <cellStyle name="Normal 5 3 2 2 2" xfId="466" xr:uid="{4A95B8FB-03B8-4BDD-8B12-F2DEC45C0240}"/>
    <cellStyle name="Normal 5 3 2 3" xfId="226" xr:uid="{C0A59D4E-5637-46A6-B126-9E740C91BE0F}"/>
    <cellStyle name="Normal 5 3 2 3 2" xfId="503" xr:uid="{6E5954B4-E697-4368-AAAF-BCDB531C753F}"/>
    <cellStyle name="Normal 5 3 2 4" xfId="144" xr:uid="{4474FB2E-6021-4E53-AB8D-3051C91DB19C}"/>
    <cellStyle name="Normal 5 3 2 4 2" xfId="421" xr:uid="{002B390C-8D8E-48F0-A628-E4178FF86097}"/>
    <cellStyle name="Normal 5 3 2 5" xfId="282" xr:uid="{1C3191F5-481E-47AE-9367-114F97A21090}"/>
    <cellStyle name="Normal 5 3 2 5 2" xfId="559" xr:uid="{51E9A67A-43FF-410F-8E43-3BB2AA99F800}"/>
    <cellStyle name="Normal 5 3 2 6" xfId="350" xr:uid="{260B2652-8AB0-4988-803B-B8A3D25A854B}"/>
    <cellStyle name="Normal 5 3 3" xfId="83" xr:uid="{F0055B7F-680C-4E1C-9F25-FE67EE066994}"/>
    <cellStyle name="Normal 5 3 3 2" xfId="199" xr:uid="{C76530B1-D8C0-443E-9DD2-2D328292CA92}"/>
    <cellStyle name="Normal 5 3 3 2 2" xfId="476" xr:uid="{3BBEA1B0-D299-4587-BDF9-212D2E692E6A}"/>
    <cellStyle name="Normal 5 3 3 3" xfId="236" xr:uid="{B15BF7D5-4520-4200-9C1E-803674C08222}"/>
    <cellStyle name="Normal 5 3 3 3 2" xfId="513" xr:uid="{C4E2D7E0-7D07-418F-B074-93E2B1C81507}"/>
    <cellStyle name="Normal 5 3 3 4" xfId="154" xr:uid="{73156FC5-AE5E-4D90-8B3D-1EBF91FD6327}"/>
    <cellStyle name="Normal 5 3 3 4 2" xfId="431" xr:uid="{53690E71-9129-4543-B65D-05BC9C580636}"/>
    <cellStyle name="Normal 5 3 3 5" xfId="288" xr:uid="{5482E2C9-E696-49F6-A6A0-5FA6074DF66B}"/>
    <cellStyle name="Normal 5 3 3 5 2" xfId="565" xr:uid="{16F57DB9-3376-468E-8A27-A925C1897EAE}"/>
    <cellStyle name="Normal 5 3 3 6" xfId="360" xr:uid="{9FAEB5FA-8862-43A7-A795-C00198FD54DF}"/>
    <cellStyle name="Normal 5 3 4" xfId="89" xr:uid="{77075CE2-B894-44E7-B824-5FC30748E1C4}"/>
    <cellStyle name="Normal 5 3 4 2" xfId="160" xr:uid="{F2A2A93C-DA26-41F9-A4B1-17B3DE88AD8E}"/>
    <cellStyle name="Normal 5 3 4 2 2" xfId="437" xr:uid="{DFF9177C-8C98-4E5D-A3CC-0764F2004EF8}"/>
    <cellStyle name="Normal 5 3 4 3" xfId="294" xr:uid="{04415D51-8217-42D0-AC5A-FC5B68FDEAB1}"/>
    <cellStyle name="Normal 5 3 4 3 2" xfId="571" xr:uid="{05E63B29-D4B0-4553-AF67-E8980EBE8C13}"/>
    <cellStyle name="Normal 5 3 4 4" xfId="366" xr:uid="{5A1A5BC8-3720-4207-A31D-122B745F7CC4}"/>
    <cellStyle name="Normal 5 3 5" xfId="81" xr:uid="{948FA092-B2A7-40FF-98F0-1777717C629B}"/>
    <cellStyle name="Normal 5 3 5 2" xfId="152" xr:uid="{FEB40EDD-42D3-4F0B-AE69-833D557B1FA4}"/>
    <cellStyle name="Normal 5 3 5 2 2" xfId="429" xr:uid="{F16F1181-814A-43D0-B053-9D33F1167CA6}"/>
    <cellStyle name="Normal 5 3 5 3" xfId="276" xr:uid="{75FB5DE7-9F6A-4A53-9489-D1915394D93F}"/>
    <cellStyle name="Normal 5 3 5 3 2" xfId="553" xr:uid="{8E4C5EC9-31CD-420F-AED7-979907CB4BE8}"/>
    <cellStyle name="Normal 5 3 5 4" xfId="358" xr:uid="{FA19296E-33FD-4A1B-BFA4-0E4B235A6D99}"/>
    <cellStyle name="Normal 5 3 6" xfId="60" xr:uid="{63780FBB-0406-4D15-871E-E9A0D36AB96B}"/>
    <cellStyle name="Normal 5 3 6 2" xfId="131" xr:uid="{917473CE-CEB8-4462-9DC3-77C6FF07905E}"/>
    <cellStyle name="Normal 5 3 6 2 2" xfId="408" xr:uid="{D1003CC9-1E5A-4D64-9C66-F7B23BF23BE2}"/>
    <cellStyle name="Normal 5 3 6 3" xfId="266" xr:uid="{EF8E5073-085E-4EAC-BF45-CB0A202D04B3}"/>
    <cellStyle name="Normal 5 3 6 3 2" xfId="543" xr:uid="{D884B956-692E-41A2-894C-651D68C189FE}"/>
    <cellStyle name="Normal 5 3 6 4" xfId="337" xr:uid="{39869257-7C57-4474-9E6B-51B974962369}"/>
    <cellStyle name="Normal 5 3 7" xfId="47" xr:uid="{38CF71B6-BA20-4208-BFAD-BD5637D89CBD}"/>
    <cellStyle name="Normal 5 3 7 2" xfId="118" xr:uid="{45814250-D77E-4775-9DF9-B9C3C50C23EB}"/>
    <cellStyle name="Normal 5 3 7 2 2" xfId="395" xr:uid="{3574AA47-0593-4C71-A3AB-C5A60AD608D1}"/>
    <cellStyle name="Normal 5 3 7 3" xfId="324" xr:uid="{EB387B1C-5C92-447F-8E7B-94489D0B2327}"/>
    <cellStyle name="Normal 5 3 8" xfId="179" xr:uid="{EC49E7F9-3FC3-4A6C-8BFB-8D58DC007986}"/>
    <cellStyle name="Normal 5 3 8 2" xfId="456" xr:uid="{C9DF2C75-77BE-4E3B-833A-8ACA35DD1CB1}"/>
    <cellStyle name="Normal 5 3 9" xfId="216" xr:uid="{C995FDBB-E937-4B31-9D9D-C794CCCCF640}"/>
    <cellStyle name="Normal 5 3 9 2" xfId="493" xr:uid="{FDE13B9D-837F-4CB9-B42E-095151ED0D49}"/>
    <cellStyle name="Normal 5 4" xfId="21" xr:uid="{69AAC0EE-74BF-48F8-AC06-02F61FAD1DA7}"/>
    <cellStyle name="Normal 5 4 2" xfId="79" xr:uid="{36764216-B2DC-42F8-9349-68B95E50F781}"/>
    <cellStyle name="Normal 5 4 2 2" xfId="205" xr:uid="{623E3284-EB1F-4662-9AF3-6F93A1E4FEAA}"/>
    <cellStyle name="Normal 5 4 2 2 2" xfId="482" xr:uid="{FF4638E5-5CE7-40BD-99B6-6E8FDAEA7C92}"/>
    <cellStyle name="Normal 5 4 2 3" xfId="242" xr:uid="{261E81C2-99F3-4215-B9C9-FB96F12DE65C}"/>
    <cellStyle name="Normal 5 4 2 3 2" xfId="519" xr:uid="{5B9E5C60-CA76-402A-B209-10282EDB902C}"/>
    <cellStyle name="Normal 5 4 2 4" xfId="150" xr:uid="{0FA941E8-7DA9-4DB1-9DEA-26C7C6FA0E84}"/>
    <cellStyle name="Normal 5 4 2 4 2" xfId="427" xr:uid="{F39B0393-7BE2-4D50-B850-7DA9F28DFA17}"/>
    <cellStyle name="Normal 5 4 2 5" xfId="279" xr:uid="{C6063723-A6E7-4C18-B835-EDFF98B913D6}"/>
    <cellStyle name="Normal 5 4 2 5 2" xfId="556" xr:uid="{595E328F-9973-4CF6-8503-87F40B4CCF13}"/>
    <cellStyle name="Normal 5 4 2 6" xfId="356" xr:uid="{A51CDB38-D084-4EE5-AE21-734E2EB8722D}"/>
    <cellStyle name="Normal 5 4 3" xfId="57" xr:uid="{987E8914-2C77-4811-8D25-93A93D3C5AEB}"/>
    <cellStyle name="Normal 5 4 3 2" xfId="128" xr:uid="{618B5DA1-BAAE-4606-A587-15975B876D0F}"/>
    <cellStyle name="Normal 5 4 3 2 2" xfId="405" xr:uid="{EFEA80BE-8532-4AE6-A665-D0C1F5B8072E}"/>
    <cellStyle name="Normal 5 4 3 3" xfId="263" xr:uid="{B8B17492-F840-4FC7-982A-8491B667733E}"/>
    <cellStyle name="Normal 5 4 3 3 2" xfId="540" xr:uid="{E2795A2F-BB30-44B4-8F5A-20098A01BD3B}"/>
    <cellStyle name="Normal 5 4 3 4" xfId="334" xr:uid="{3BB38B5F-ADBA-43A5-89FA-E809BD3A0C3C}"/>
    <cellStyle name="Normal 5 4 4" xfId="176" xr:uid="{C55801FF-4B03-42F7-9473-E66817EC19F3}"/>
    <cellStyle name="Normal 5 4 4 2" xfId="453" xr:uid="{E052928D-529C-415F-A5DD-655B6BA1AAE1}"/>
    <cellStyle name="Normal 5 4 5" xfId="213" xr:uid="{58E0280C-0172-49AD-8D81-DA970F824C6D}"/>
    <cellStyle name="Normal 5 4 5 2" xfId="490" xr:uid="{BD7BFA2F-7ABC-45CC-9397-B2BFD2DE9226}"/>
    <cellStyle name="Normal 5 4 6" xfId="105" xr:uid="{049262F6-D480-4210-9AA3-BB9F874FFF7E}"/>
    <cellStyle name="Normal 5 4 6 2" xfId="382" xr:uid="{CD3AF153-43E4-4D87-B5AC-878AA910B50A}"/>
    <cellStyle name="Normal 5 4 7" xfId="250" xr:uid="{B0E54E80-8B71-437F-82C8-ACBC84419CD6}"/>
    <cellStyle name="Normal 5 4 7 2" xfId="527" xr:uid="{3F07815D-34C0-4108-BA57-2D830ED183ED}"/>
    <cellStyle name="Normal 5 4 8" xfId="34" xr:uid="{B610D3FD-1D6F-4DD0-B77D-3904875C0658}"/>
    <cellStyle name="Normal 5 4 9" xfId="311" xr:uid="{7208AC75-1DCD-4F92-974A-E5E20E742990}"/>
    <cellStyle name="Normal 5 5" xfId="69" xr:uid="{62D1362F-F873-45A1-A7DC-81633A31625E}"/>
    <cellStyle name="Normal 5 5 2" xfId="99" xr:uid="{7F02C45E-170B-4460-B4C1-D155065F0E1C}"/>
    <cellStyle name="Normal 5 5 2 2" xfId="206" xr:uid="{1885DB60-CAD4-4E8B-B400-3245F8928405}"/>
    <cellStyle name="Normal 5 5 2 2 2" xfId="483" xr:uid="{94FEDE51-1A99-4DEE-95EE-F2048C39F661}"/>
    <cellStyle name="Normal 5 5 2 3" xfId="243" xr:uid="{D7F8D566-8037-4FDB-A169-77E11F78414E}"/>
    <cellStyle name="Normal 5 5 2 3 2" xfId="520" xr:uid="{5F4378B2-7B51-4A55-A894-FB63FFED9F28}"/>
    <cellStyle name="Normal 5 5 2 4" xfId="170" xr:uid="{6E0D3D1F-AF68-49D4-A8B0-94AF16B9F248}"/>
    <cellStyle name="Normal 5 5 2 4 2" xfId="447" xr:uid="{FE80AB52-39A0-4BF1-8548-0EE0C6CDCD07}"/>
    <cellStyle name="Normal 5 5 2 5" xfId="305" xr:uid="{0476BEFA-4B8B-45A1-90FB-F437025231A1}"/>
    <cellStyle name="Normal 5 5 2 5 2" xfId="582" xr:uid="{B79C5471-99EF-40F9-BE59-AEB7B8D07009}"/>
    <cellStyle name="Normal 5 5 2 6" xfId="376" xr:uid="{DF953218-FB8C-4F92-9363-5EC48F3292B4}"/>
    <cellStyle name="Normal 5 5 3" xfId="186" xr:uid="{10F2FF4D-55E7-4D4E-9E70-EB92440F5560}"/>
    <cellStyle name="Normal 5 5 3 2" xfId="463" xr:uid="{87F498BC-C133-4D58-90CF-A21FA4ADA8CA}"/>
    <cellStyle name="Normal 5 5 4" xfId="223" xr:uid="{6FDF6490-C81A-4DE4-8F52-E6840443869C}"/>
    <cellStyle name="Normal 5 5 4 2" xfId="500" xr:uid="{79266EED-D856-46B0-BAAC-D2F7B3BC71CA}"/>
    <cellStyle name="Normal 5 5 5" xfId="140" xr:uid="{92963AD2-F897-4822-9450-9AA6B3E1CA44}"/>
    <cellStyle name="Normal 5 5 5 2" xfId="417" xr:uid="{7AA60A8E-0A5E-4FAD-BA3D-E02756FDA3E8}"/>
    <cellStyle name="Normal 5 5 6" xfId="285" xr:uid="{EB24426F-BA34-46B8-BD18-6FC76EB440DD}"/>
    <cellStyle name="Normal 5 5 6 2" xfId="562" xr:uid="{9ACBAD86-6C89-4860-9DD9-962744499864}"/>
    <cellStyle name="Normal 5 5 7" xfId="346" xr:uid="{86B63D2E-E080-49C5-9DFD-FA13F099FC04}"/>
    <cellStyle name="Normal 5 6" xfId="86" xr:uid="{2174EB6D-7806-4E13-AB50-803A00CC9D1B}"/>
    <cellStyle name="Normal 5 6 2" xfId="196" xr:uid="{048640B9-6C86-4197-B170-DD53B1A29772}"/>
    <cellStyle name="Normal 5 6 2 2" xfId="473" xr:uid="{D071CF8D-59E8-4D2A-8845-CB9E4033C109}"/>
    <cellStyle name="Normal 5 6 3" xfId="233" xr:uid="{E13A6178-27DC-460B-80EC-7FE558A3401B}"/>
    <cellStyle name="Normal 5 6 3 2" xfId="510" xr:uid="{1AD34ECA-24B1-4505-9351-BE9BCFB5DEA2}"/>
    <cellStyle name="Normal 5 6 4" xfId="157" xr:uid="{E2C5D646-AB2D-431C-AA5C-A80D185A1D4D}"/>
    <cellStyle name="Normal 5 6 4 2" xfId="434" xr:uid="{A83A1E79-29A6-4395-B8AC-601263203807}"/>
    <cellStyle name="Normal 5 6 5" xfId="291" xr:uid="{110F3DC4-4246-4463-84E5-FDFB1C77D50A}"/>
    <cellStyle name="Normal 5 6 5 2" xfId="568" xr:uid="{540305AE-C7D7-4D6C-AA14-DAD608BD3246}"/>
    <cellStyle name="Normal 5 6 6" xfId="363" xr:uid="{15406791-56B2-4C78-B3EA-659F9970B27B}"/>
    <cellStyle name="Normal 5 7" xfId="91" xr:uid="{7E9864AB-E02E-4BF3-8E0F-1454A7A7A4D8}"/>
    <cellStyle name="Normal 5 7 2" xfId="162" xr:uid="{E2BE3248-5F90-4190-8045-22FB7A15EB11}"/>
    <cellStyle name="Normal 5 7 2 2" xfId="439" xr:uid="{7DF6C568-0D5D-4B0C-9B6E-22681B3CC63B}"/>
    <cellStyle name="Normal 5 7 3" xfId="273" xr:uid="{30721B7E-3EB3-4C11-89CF-144850EE605F}"/>
    <cellStyle name="Normal 5 7 3 2" xfId="550" xr:uid="{9CA1F5A4-7B6D-412A-BBDB-5B950C00BD4C}"/>
    <cellStyle name="Normal 5 7 4" xfId="368" xr:uid="{3D600AD6-43BA-43A2-9FF9-C98B66DE8CFE}"/>
    <cellStyle name="Normal 5 8" xfId="54" xr:uid="{A65E6A99-FB5A-4104-93ED-09BAE15A08C3}"/>
    <cellStyle name="Normal 5 8 2" xfId="125" xr:uid="{79B4467D-1ABD-4ADF-A36F-6E4201ED99C3}"/>
    <cellStyle name="Normal 5 8 2 2" xfId="402" xr:uid="{A8494584-0F7C-4331-824A-34E02EBD0F94}"/>
    <cellStyle name="Normal 5 8 3" xfId="260" xr:uid="{9F759B4C-ABC0-4FE8-848D-529D67995417}"/>
    <cellStyle name="Normal 5 8 3 2" xfId="537" xr:uid="{85D208D4-3F6E-418A-80CD-ADCF4FBCE92D}"/>
    <cellStyle name="Normal 5 8 4" xfId="331" xr:uid="{536CD97D-9DBF-4160-9C61-F8882BD622DA}"/>
    <cellStyle name="Normal 5 9" xfId="44" xr:uid="{E7C86CDF-2682-4E5C-8AB4-D539E2D3277E}"/>
    <cellStyle name="Normal 5 9 2" xfId="115" xr:uid="{AA77BDDE-BF33-4511-8E29-D395CBD63724}"/>
    <cellStyle name="Normal 5 9 2 2" xfId="392" xr:uid="{C87F8975-23DA-4B20-B99C-B83EEA2B7134}"/>
    <cellStyle name="Normal 5 9 3" xfId="321" xr:uid="{02D03D7E-728E-4C3A-A266-32B1D60EC4B2}"/>
    <cellStyle name="Normal_CHAUFFAGE" xfId="3" xr:uid="{00000000-0005-0000-0000-00000D000000}"/>
    <cellStyle name="Normal_Quantitatif" xfId="4" xr:uid="{00000000-0005-0000-0000-00000E000000}"/>
    <cellStyle name="Titre 2" xfId="14" xr:uid="{00000000-0005-0000-0000-00000F000000}"/>
    <cellStyle name="Total chapitre" xfId="15" xr:uid="{00000000-0005-0000-0000-000010000000}"/>
  </cellStyles>
  <dxfs count="297">
    <dxf>
      <font>
        <b val="0"/>
        <i val="0"/>
        <color auto="1"/>
      </font>
      <fill>
        <patternFill patternType="lightUp">
          <fgColor rgb="FFFF0000"/>
        </patternFill>
      </fill>
    </dxf>
    <dxf>
      <font>
        <b val="0"/>
        <i val="0"/>
        <color auto="1"/>
      </font>
      <fill>
        <patternFill patternType="lightUp">
          <fgColor rgb="FFFF0000"/>
        </patternFill>
      </fill>
    </dxf>
    <dxf>
      <font>
        <b val="0"/>
        <i val="0"/>
        <color auto="1"/>
      </font>
      <fill>
        <patternFill patternType="lightUp">
          <fgColor rgb="FFFF0000"/>
        </patternFill>
      </fill>
    </dxf>
    <dxf>
      <fill>
        <patternFill patternType="lightUp">
          <fgColor rgb="FFFF0000"/>
        </patternFill>
      </fill>
    </dxf>
    <dxf>
      <fill>
        <patternFill patternType="lightUp">
          <fgColor rgb="FFFF0000"/>
        </patternFill>
      </fill>
    </dxf>
    <dxf>
      <fill>
        <patternFill patternType="lightUp">
          <fgColor rgb="FFFF0000"/>
        </patternFill>
      </fill>
    </dxf>
    <dxf>
      <fill>
        <patternFill patternType="lightUp">
          <fgColor rgb="FFFF0000"/>
        </patternFill>
      </fill>
    </dxf>
    <dxf>
      <fill>
        <patternFill patternType="lightUp">
          <fgColor rgb="FFFF0000"/>
        </patternFill>
      </fill>
    </dxf>
    <dxf>
      <fill>
        <patternFill patternType="lightUp">
          <fgColor rgb="FFFF0000"/>
        </patternFill>
      </fill>
    </dxf>
    <dxf>
      <fill>
        <patternFill patternType="lightUp">
          <fgColor rgb="FFFF0000"/>
        </patternFill>
      </fill>
    </dxf>
    <dxf>
      <fill>
        <patternFill patternType="lightUp">
          <fgColor rgb="FFFF0000"/>
        </patternFill>
      </fill>
    </dxf>
    <dxf>
      <fill>
        <patternFill patternType="lightUp">
          <fgColor rgb="FFFF0000"/>
        </patternFill>
      </fill>
    </dxf>
    <dxf>
      <fill>
        <patternFill patternType="lightUp">
          <fgColor rgb="FFFF0000"/>
        </patternFill>
      </fill>
    </dxf>
    <dxf>
      <fill>
        <patternFill patternType="lightUp">
          <fgColor rgb="FFFF0000"/>
        </patternFill>
      </fill>
    </dxf>
    <dxf>
      <fill>
        <patternFill patternType="lightUp">
          <fgColor rgb="FFFF0000"/>
        </patternFill>
      </fill>
    </dxf>
    <dxf>
      <fill>
        <patternFill patternType="lightUp">
          <fgColor rgb="FFFF0000"/>
        </patternFill>
      </fill>
    </dxf>
    <dxf>
      <fill>
        <patternFill patternType="lightUp">
          <fgColor rgb="FFFF0000"/>
        </patternFill>
      </fill>
    </dxf>
    <dxf>
      <fill>
        <patternFill patternType="lightUp">
          <fgColor rgb="FFFF0000"/>
        </patternFill>
      </fill>
    </dxf>
    <dxf>
      <fill>
        <patternFill patternType="lightUp">
          <fgColor rgb="FFFF0000"/>
        </patternFill>
      </fill>
    </dxf>
    <dxf>
      <fill>
        <patternFill patternType="lightUp">
          <fgColor rgb="FFFF0000"/>
        </patternFill>
      </fill>
    </dxf>
    <dxf>
      <fill>
        <patternFill patternType="lightUp">
          <fgColor rgb="FFFF0000"/>
        </patternFill>
      </fill>
    </dxf>
    <dxf>
      <fill>
        <patternFill>
          <bgColor rgb="FF92D050"/>
        </patternFill>
      </fill>
    </dxf>
    <dxf>
      <font>
        <b val="0"/>
        <i val="0"/>
        <color auto="1"/>
      </font>
      <fill>
        <patternFill patternType="none">
          <bgColor auto="1"/>
        </patternFill>
      </fill>
    </dxf>
    <dxf>
      <font>
        <b/>
        <i val="0"/>
        <color rgb="FFFF0000"/>
      </font>
    </dxf>
    <dxf>
      <fill>
        <patternFill>
          <bgColor rgb="FF92D050"/>
        </patternFill>
      </fill>
    </dxf>
    <dxf>
      <font>
        <b val="0"/>
        <i val="0"/>
        <color auto="1"/>
      </font>
      <fill>
        <patternFill patternType="none">
          <bgColor auto="1"/>
        </patternFill>
      </fill>
    </dxf>
    <dxf>
      <font>
        <b/>
        <i val="0"/>
        <color rgb="FFFF0000"/>
      </font>
    </dxf>
    <dxf>
      <fill>
        <patternFill>
          <bgColor rgb="FF92D050"/>
        </patternFill>
      </fill>
    </dxf>
    <dxf>
      <font>
        <b val="0"/>
        <i val="0"/>
        <color auto="1"/>
      </font>
      <fill>
        <patternFill patternType="none">
          <bgColor auto="1"/>
        </patternFill>
      </fill>
    </dxf>
    <dxf>
      <font>
        <b/>
        <i val="0"/>
        <color rgb="FFFF0000"/>
      </font>
    </dxf>
    <dxf>
      <fill>
        <patternFill>
          <bgColor rgb="FF92D050"/>
        </patternFill>
      </fill>
    </dxf>
    <dxf>
      <font>
        <b val="0"/>
        <i val="0"/>
        <color auto="1"/>
      </font>
      <fill>
        <patternFill patternType="none">
          <bgColor auto="1"/>
        </patternFill>
      </fill>
    </dxf>
    <dxf>
      <font>
        <b/>
        <i val="0"/>
        <color rgb="FFFF0000"/>
      </font>
    </dxf>
    <dxf>
      <fill>
        <patternFill>
          <bgColor rgb="FF92D050"/>
        </patternFill>
      </fill>
    </dxf>
    <dxf>
      <font>
        <b val="0"/>
        <i val="0"/>
        <color auto="1"/>
      </font>
      <fill>
        <patternFill patternType="none">
          <bgColor auto="1"/>
        </patternFill>
      </fill>
    </dxf>
    <dxf>
      <font>
        <b/>
        <i val="0"/>
        <color rgb="FFFF0000"/>
      </font>
    </dxf>
    <dxf>
      <fill>
        <patternFill>
          <bgColor rgb="FF92D050"/>
        </patternFill>
      </fill>
    </dxf>
    <dxf>
      <font>
        <b val="0"/>
        <i val="0"/>
        <color auto="1"/>
      </font>
      <fill>
        <patternFill patternType="none">
          <bgColor auto="1"/>
        </patternFill>
      </fill>
    </dxf>
    <dxf>
      <font>
        <b/>
        <i val="0"/>
        <color rgb="FFFF0000"/>
      </font>
    </dxf>
    <dxf>
      <fill>
        <patternFill>
          <bgColor rgb="FF92D050"/>
        </patternFill>
      </fill>
    </dxf>
    <dxf>
      <font>
        <b val="0"/>
        <i val="0"/>
        <color auto="1"/>
      </font>
      <fill>
        <patternFill patternType="none">
          <bgColor auto="1"/>
        </patternFill>
      </fill>
    </dxf>
    <dxf>
      <font>
        <b/>
        <i val="0"/>
        <color rgb="FFFF0000"/>
      </font>
    </dxf>
    <dxf>
      <fill>
        <patternFill>
          <bgColor rgb="FF92D050"/>
        </patternFill>
      </fill>
    </dxf>
    <dxf>
      <font>
        <b val="0"/>
        <i val="0"/>
        <color auto="1"/>
      </font>
      <fill>
        <patternFill patternType="none">
          <bgColor auto="1"/>
        </patternFill>
      </fill>
    </dxf>
    <dxf>
      <font>
        <b/>
        <i val="0"/>
        <color rgb="FFFF0000"/>
      </font>
    </dxf>
    <dxf>
      <fill>
        <patternFill>
          <bgColor rgb="FF92D050"/>
        </patternFill>
      </fill>
    </dxf>
    <dxf>
      <font>
        <b val="0"/>
        <i val="0"/>
        <color auto="1"/>
      </font>
      <fill>
        <patternFill patternType="none">
          <bgColor auto="1"/>
        </patternFill>
      </fill>
    </dxf>
    <dxf>
      <font>
        <b/>
        <i val="0"/>
        <color rgb="FFFF0000"/>
      </font>
    </dxf>
    <dxf>
      <fill>
        <patternFill>
          <bgColor rgb="FF92D050"/>
        </patternFill>
      </fill>
    </dxf>
    <dxf>
      <font>
        <b val="0"/>
        <i val="0"/>
        <color auto="1"/>
      </font>
      <fill>
        <patternFill patternType="none">
          <bgColor auto="1"/>
        </patternFill>
      </fill>
    </dxf>
    <dxf>
      <font>
        <b/>
        <i val="0"/>
        <color rgb="FFFF0000"/>
      </font>
    </dxf>
    <dxf>
      <fill>
        <patternFill>
          <bgColor rgb="FF92D050"/>
        </patternFill>
      </fill>
    </dxf>
    <dxf>
      <font>
        <b val="0"/>
        <i val="0"/>
        <color auto="1"/>
      </font>
      <fill>
        <patternFill patternType="none">
          <bgColor auto="1"/>
        </patternFill>
      </fill>
    </dxf>
    <dxf>
      <font>
        <b/>
        <i val="0"/>
        <color rgb="FFFF0000"/>
      </font>
    </dxf>
    <dxf>
      <font>
        <color rgb="FF9C0006"/>
      </font>
    </dxf>
    <dxf>
      <font>
        <b/>
        <i val="0"/>
        <u val="none"/>
        <color rgb="FFFF0000"/>
      </font>
    </dxf>
    <dxf>
      <fill>
        <patternFill>
          <bgColor rgb="FF92D050"/>
        </patternFill>
      </fill>
    </dxf>
    <dxf>
      <font>
        <color rgb="FF9C0006"/>
      </font>
    </dxf>
    <dxf>
      <font>
        <b/>
        <i val="0"/>
        <u val="none"/>
        <color rgb="FFFF0000"/>
      </font>
    </dxf>
    <dxf>
      <fill>
        <patternFill>
          <bgColor rgb="FF92D050"/>
        </patternFill>
      </fill>
    </dxf>
    <dxf>
      <font>
        <color rgb="FF9C0006"/>
      </font>
    </dxf>
    <dxf>
      <font>
        <b/>
        <i val="0"/>
        <u val="none"/>
        <color rgb="FFFF0000"/>
      </font>
    </dxf>
    <dxf>
      <fill>
        <patternFill>
          <bgColor rgb="FF92D050"/>
        </patternFill>
      </fill>
    </dxf>
    <dxf>
      <font>
        <color rgb="FF9C0006"/>
      </font>
    </dxf>
    <dxf>
      <font>
        <b/>
        <i val="0"/>
        <u val="none"/>
        <color rgb="FFFF0000"/>
      </font>
    </dxf>
    <dxf>
      <fill>
        <patternFill>
          <bgColor rgb="FF92D050"/>
        </patternFill>
      </fill>
    </dxf>
    <dxf>
      <font>
        <color rgb="FF9C0006"/>
      </font>
    </dxf>
    <dxf>
      <font>
        <b/>
        <i val="0"/>
        <u val="none"/>
        <color rgb="FFFF0000"/>
      </font>
    </dxf>
    <dxf>
      <fill>
        <patternFill>
          <bgColor rgb="FF92D050"/>
        </patternFill>
      </fill>
    </dxf>
    <dxf>
      <font>
        <color rgb="FF9C0006"/>
      </font>
    </dxf>
    <dxf>
      <font>
        <b/>
        <i val="0"/>
        <u val="none"/>
        <color rgb="FFFF0000"/>
      </font>
    </dxf>
    <dxf>
      <fill>
        <patternFill>
          <bgColor rgb="FF92D050"/>
        </patternFill>
      </fill>
    </dxf>
    <dxf>
      <font>
        <color rgb="FF9C0006"/>
      </font>
    </dxf>
    <dxf>
      <font>
        <b/>
        <i val="0"/>
        <u val="none"/>
        <color rgb="FFFF0000"/>
      </font>
    </dxf>
    <dxf>
      <fill>
        <patternFill>
          <bgColor rgb="FF92D050"/>
        </patternFill>
      </fill>
    </dxf>
    <dxf>
      <font>
        <color rgb="FF9C0006"/>
      </font>
    </dxf>
    <dxf>
      <font>
        <b/>
        <i val="0"/>
        <u val="none"/>
        <color rgb="FFFF0000"/>
      </font>
    </dxf>
    <dxf>
      <fill>
        <patternFill>
          <bgColor rgb="FF92D050"/>
        </patternFill>
      </fill>
    </dxf>
    <dxf>
      <font>
        <color rgb="FF9C0006"/>
      </font>
    </dxf>
    <dxf>
      <font>
        <b/>
        <i val="0"/>
        <u val="none"/>
        <color rgb="FFFF0000"/>
      </font>
    </dxf>
    <dxf>
      <fill>
        <patternFill>
          <bgColor rgb="FF92D050"/>
        </patternFill>
      </fill>
    </dxf>
    <dxf>
      <fill>
        <patternFill patternType="lightUp">
          <fgColor rgb="FFFF0000"/>
        </patternFill>
      </fill>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theme="6" tint="-0.499984740745262"/>
      </font>
    </dxf>
    <dxf>
      <font>
        <b/>
        <i val="0"/>
        <color rgb="FF92D050"/>
      </font>
    </dxf>
    <dxf>
      <font>
        <b/>
        <i val="0"/>
        <color rgb="FFFF0000"/>
      </font>
    </dxf>
    <dxf>
      <font>
        <b/>
        <i val="0"/>
        <color theme="6" tint="-0.499984740745262"/>
      </font>
    </dxf>
    <dxf>
      <font>
        <b/>
        <i val="0"/>
        <color rgb="FF92D050"/>
      </font>
    </dxf>
    <dxf>
      <font>
        <b/>
        <i val="0"/>
        <color rgb="FFFF0000"/>
      </font>
    </dxf>
    <dxf>
      <font>
        <b/>
        <i val="0"/>
        <color theme="6" tint="-0.499984740745262"/>
      </font>
    </dxf>
    <dxf>
      <font>
        <b/>
        <i val="0"/>
        <color rgb="FF92D050"/>
      </font>
    </dxf>
    <dxf>
      <font>
        <b/>
        <i val="0"/>
        <color rgb="FFFF0000"/>
      </font>
    </dxf>
    <dxf>
      <font>
        <b/>
        <i val="0"/>
        <color theme="6" tint="-0.499984740745262"/>
      </font>
    </dxf>
    <dxf>
      <font>
        <b/>
        <i val="0"/>
        <color rgb="FF92D050"/>
      </font>
    </dxf>
    <dxf>
      <font>
        <b/>
        <i val="0"/>
        <color rgb="FFFF0000"/>
      </font>
    </dxf>
    <dxf>
      <font>
        <b/>
        <i val="0"/>
        <color theme="6" tint="-0.499984740745262"/>
      </font>
    </dxf>
    <dxf>
      <font>
        <b/>
        <i val="0"/>
        <color rgb="FF92D050"/>
      </font>
    </dxf>
    <dxf>
      <font>
        <b/>
        <i val="0"/>
        <color rgb="FFFF0000"/>
      </font>
    </dxf>
    <dxf>
      <font>
        <b/>
        <i val="0"/>
        <color theme="6" tint="-0.499984740745262"/>
      </font>
    </dxf>
    <dxf>
      <font>
        <b/>
        <i val="0"/>
        <color rgb="FF92D050"/>
      </font>
    </dxf>
    <dxf>
      <font>
        <b/>
        <i val="0"/>
        <color rgb="FFFF0000"/>
      </font>
    </dxf>
    <dxf>
      <font>
        <b/>
        <i val="0"/>
        <color theme="6" tint="-0.499984740745262"/>
      </font>
    </dxf>
    <dxf>
      <font>
        <b/>
        <i val="0"/>
        <color rgb="FF92D050"/>
      </font>
    </dxf>
    <dxf>
      <font>
        <b/>
        <i val="0"/>
        <color rgb="FFFF0000"/>
      </font>
    </dxf>
    <dxf>
      <font>
        <b/>
        <i val="0"/>
        <color theme="6" tint="-0.499984740745262"/>
      </font>
    </dxf>
    <dxf>
      <font>
        <b/>
        <i val="0"/>
        <color rgb="FF92D050"/>
      </font>
    </dxf>
    <dxf>
      <font>
        <b/>
        <i val="0"/>
        <color rgb="FFFF0000"/>
      </font>
    </dxf>
    <dxf>
      <font>
        <b/>
        <i val="0"/>
        <color theme="6" tint="-0.499984740745262"/>
      </font>
    </dxf>
    <dxf>
      <font>
        <b/>
        <i val="0"/>
        <color rgb="FF92D050"/>
      </font>
    </dxf>
    <dxf>
      <font>
        <b/>
        <i val="0"/>
        <color rgb="FFFF0000"/>
      </font>
    </dxf>
    <dxf>
      <font>
        <b/>
        <i val="0"/>
        <color theme="6" tint="-0.499984740745262"/>
      </font>
    </dxf>
    <dxf>
      <font>
        <b/>
        <i val="0"/>
        <color rgb="FF92D050"/>
      </font>
    </dxf>
    <dxf>
      <font>
        <b/>
        <i val="0"/>
        <color rgb="FFFF0000"/>
      </font>
    </dxf>
    <dxf>
      <font>
        <b/>
        <i val="0"/>
        <color theme="6" tint="-0.499984740745262"/>
      </font>
    </dxf>
    <dxf>
      <font>
        <b/>
        <i val="0"/>
        <color rgb="FF92D050"/>
      </font>
    </dxf>
    <dxf>
      <font>
        <b/>
        <i val="0"/>
        <color rgb="FFFF0000"/>
      </font>
    </dxf>
    <dxf>
      <font>
        <b/>
        <i val="0"/>
        <color theme="6" tint="-0.499984740745262"/>
      </font>
    </dxf>
    <dxf>
      <font>
        <b/>
        <i val="0"/>
        <color rgb="FF92D050"/>
      </font>
    </dxf>
    <dxf>
      <font>
        <b/>
        <i val="0"/>
        <color rgb="FFFF0000"/>
      </font>
    </dxf>
    <dxf>
      <font>
        <b/>
        <i val="0"/>
        <color theme="6" tint="-0.499984740745262"/>
      </font>
    </dxf>
    <dxf>
      <font>
        <b/>
        <i val="0"/>
        <color rgb="FF92D050"/>
      </font>
    </dxf>
    <dxf>
      <font>
        <b/>
        <i val="0"/>
        <color rgb="FFFF0000"/>
      </font>
    </dxf>
    <dxf>
      <font>
        <b/>
        <i val="0"/>
        <color theme="6" tint="-0.499984740745262"/>
      </font>
    </dxf>
    <dxf>
      <font>
        <b/>
        <i val="0"/>
        <color rgb="FF92D050"/>
      </font>
    </dxf>
    <dxf>
      <font>
        <b/>
        <i val="0"/>
        <color rgb="FFFF0000"/>
      </font>
    </dxf>
    <dxf>
      <font>
        <b/>
        <i val="0"/>
        <color theme="6" tint="-0.499984740745262"/>
      </font>
    </dxf>
    <dxf>
      <font>
        <b/>
        <i val="0"/>
        <color rgb="FF92D050"/>
      </font>
    </dxf>
    <dxf>
      <font>
        <b/>
        <i val="0"/>
        <color rgb="FFFF0000"/>
      </font>
    </dxf>
    <dxf>
      <font>
        <b/>
        <i val="0"/>
        <color theme="6" tint="-0.499984740745262"/>
      </font>
    </dxf>
    <dxf>
      <font>
        <b/>
        <i val="0"/>
        <color rgb="FF92D050"/>
      </font>
    </dxf>
    <dxf>
      <font>
        <b/>
        <i val="0"/>
        <color rgb="FFFF0000"/>
      </font>
    </dxf>
    <dxf>
      <font>
        <b/>
        <i val="0"/>
        <color theme="6" tint="-0.499984740745262"/>
      </font>
    </dxf>
    <dxf>
      <font>
        <b/>
        <i val="0"/>
        <color rgb="FF92D050"/>
      </font>
    </dxf>
    <dxf>
      <font>
        <b/>
        <i val="0"/>
        <color rgb="FFFF0000"/>
      </font>
    </dxf>
    <dxf>
      <font>
        <b/>
        <i val="0"/>
        <color theme="6" tint="-0.499984740745262"/>
      </font>
    </dxf>
    <dxf>
      <font>
        <b/>
        <i val="0"/>
        <color rgb="FF92D050"/>
      </font>
    </dxf>
    <dxf>
      <font>
        <b/>
        <i val="0"/>
        <color rgb="FFFF0000"/>
      </font>
    </dxf>
    <dxf>
      <font>
        <b/>
        <i val="0"/>
        <color theme="6" tint="-0.499984740745262"/>
      </font>
    </dxf>
    <dxf>
      <font>
        <b/>
        <i val="0"/>
        <color rgb="FF92D050"/>
      </font>
    </dxf>
    <dxf>
      <font>
        <b/>
        <i val="0"/>
        <color rgb="FFFF0000"/>
      </font>
    </dxf>
    <dxf>
      <fill>
        <patternFill>
          <bgColor theme="9" tint="-0.24994659260841701"/>
        </patternFill>
      </fill>
    </dxf>
    <dxf>
      <fill>
        <patternFill>
          <bgColor theme="9" tint="-0.2499465926084170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patternFill>
      </fill>
    </dxf>
    <dxf>
      <fill>
        <patternFill patternType="lightUp">
          <fgColor rgb="FFFF0000"/>
        </patternFill>
      </fill>
    </dxf>
    <dxf>
      <fill>
        <patternFill patternType="lightUp">
          <fgColor rgb="FFFF0000"/>
        </patternFill>
      </fill>
    </dxf>
    <dxf>
      <fill>
        <patternFill patternType="lightUp">
          <fgColor rgb="FFFF0000"/>
        </patternFill>
      </fill>
    </dxf>
    <dxf>
      <fill>
        <patternFill patternType="lightUp">
          <fgColor rgb="FFFF0000"/>
        </patternFill>
      </fill>
    </dxf>
    <dxf>
      <fill>
        <patternFill patternType="lightUp">
          <fgColor rgb="FFFF0000"/>
        </patternFill>
      </fill>
    </dxf>
    <dxf>
      <fill>
        <patternFill patternType="lightUp">
          <fgColor rgb="FFFF0000"/>
        </patternFill>
      </fill>
    </dxf>
    <dxf>
      <fill>
        <patternFill patternType="lightUp">
          <fgColor rgb="FFFF0000"/>
        </patternFill>
      </fill>
    </dxf>
    <dxf>
      <fill>
        <patternFill patternType="lightUp">
          <fgColor rgb="FFFF0000"/>
        </patternFill>
      </fill>
    </dxf>
    <dxf>
      <fill>
        <patternFill patternType="lightUp">
          <fgColor rgb="FFFF0000"/>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
      <fill>
        <patternFill patternType="lightUp">
          <fgColor rgb="FFFF0000"/>
          <bgColor auto="1"/>
        </patternFill>
      </fill>
    </dxf>
  </dxfs>
  <tableStyles count="0" defaultTableStyle="TableStyleMedium9" defaultPivotStyle="PivotStyleLight16"/>
  <colors>
    <mruColors>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D9EB9-EFE7-400B-BB11-9A203EE6A445}">
  <sheetPr>
    <outlinePr summaryBelow="0" summaryRight="0"/>
    <pageSetUpPr fitToPage="1"/>
  </sheetPr>
  <dimension ref="A1:H1278"/>
  <sheetViews>
    <sheetView showZeros="0" tabSelected="1" topLeftCell="A794" zoomScale="130" zoomScaleNormal="130" zoomScaleSheetLayoutView="115" workbookViewId="0">
      <selection activeCell="C1258" sqref="C1258:F1258"/>
    </sheetView>
  </sheetViews>
  <sheetFormatPr baseColWidth="10" defaultRowHeight="12" outlineLevelRow="3" x14ac:dyDescent="0.2"/>
  <cols>
    <col min="1" max="1" width="2.42578125" style="17" customWidth="1"/>
    <col min="2" max="2" width="4" style="18" customWidth="1"/>
    <col min="3" max="3" width="48.140625" style="19" customWidth="1"/>
    <col min="4" max="4" width="5.85546875" style="17" customWidth="1"/>
    <col min="5" max="5" width="8.140625" style="17" customWidth="1"/>
    <col min="6" max="6" width="8" style="17" customWidth="1"/>
    <col min="7" max="7" width="13.140625" style="34" customWidth="1"/>
    <col min="8" max="8" width="11.42578125" style="34" customWidth="1"/>
    <col min="9" max="9" width="11.42578125" style="22" customWidth="1"/>
    <col min="10" max="16384" width="11.42578125" style="22"/>
  </cols>
  <sheetData>
    <row r="1" spans="1:8" s="12" customFormat="1" ht="18.75" customHeight="1" x14ac:dyDescent="0.2">
      <c r="A1" s="118" t="s">
        <v>18</v>
      </c>
      <c r="B1" s="119"/>
      <c r="C1" s="119"/>
      <c r="D1" s="119"/>
      <c r="E1" s="119"/>
      <c r="F1" s="119"/>
      <c r="G1" s="119"/>
      <c r="H1" s="120"/>
    </row>
    <row r="2" spans="1:8" s="12" customFormat="1" ht="42" customHeight="1" x14ac:dyDescent="0.2">
      <c r="A2" s="116" t="s">
        <v>30</v>
      </c>
      <c r="B2" s="117"/>
      <c r="C2" s="117"/>
      <c r="D2" s="117"/>
      <c r="E2" s="117"/>
      <c r="F2" s="117"/>
      <c r="G2" s="47" t="s">
        <v>115</v>
      </c>
      <c r="H2" s="79" t="s">
        <v>114</v>
      </c>
    </row>
    <row r="3" spans="1:8" s="13" customFormat="1" ht="49.5" customHeight="1" thickBot="1" x14ac:dyDescent="0.25">
      <c r="A3" s="121" t="s">
        <v>2</v>
      </c>
      <c r="B3" s="122"/>
      <c r="C3" s="48" t="s">
        <v>0</v>
      </c>
      <c r="D3" s="49" t="s">
        <v>10</v>
      </c>
      <c r="E3" s="49" t="s">
        <v>11</v>
      </c>
      <c r="F3" s="49" t="s">
        <v>12</v>
      </c>
      <c r="G3" s="50" t="s">
        <v>13</v>
      </c>
      <c r="H3" s="80" t="s">
        <v>1</v>
      </c>
    </row>
    <row r="4" spans="1:8" s="8" customFormat="1" ht="12" customHeight="1" x14ac:dyDescent="0.2">
      <c r="A4" s="123">
        <v>1</v>
      </c>
      <c r="B4" s="124"/>
      <c r="C4" s="53" t="s">
        <v>31</v>
      </c>
      <c r="D4" s="41"/>
      <c r="E4" s="41"/>
      <c r="F4" s="41"/>
      <c r="G4" s="42"/>
      <c r="H4" s="71"/>
    </row>
    <row r="5" spans="1:8" s="11" customFormat="1" ht="15" hidden="1" customHeight="1" outlineLevel="1" x14ac:dyDescent="0.2">
      <c r="A5" s="2">
        <f>A4+0.1</f>
        <v>1.1000000000000001</v>
      </c>
      <c r="B5" s="1"/>
      <c r="C5" s="28"/>
      <c r="D5" s="5"/>
      <c r="E5" s="9"/>
      <c r="F5" s="10"/>
      <c r="G5" s="37"/>
      <c r="H5" s="36"/>
    </row>
    <row r="6" spans="1:8" s="11" customFormat="1" hidden="1" outlineLevel="2" x14ac:dyDescent="0.2">
      <c r="A6" s="106">
        <f>A5+0.01</f>
        <v>1.1100000000000001</v>
      </c>
      <c r="B6" s="107"/>
      <c r="C6" s="27"/>
      <c r="D6" s="6"/>
      <c r="E6" s="7"/>
      <c r="F6" s="7"/>
      <c r="G6" s="31"/>
      <c r="H6" s="43"/>
    </row>
    <row r="7" spans="1:8" s="11" customFormat="1" ht="33.75" outlineLevel="3" x14ac:dyDescent="0.2">
      <c r="A7" s="2"/>
      <c r="B7" s="1"/>
      <c r="C7" s="55" t="s">
        <v>32</v>
      </c>
      <c r="D7" s="6" t="s">
        <v>17</v>
      </c>
      <c r="E7" s="7">
        <v>1</v>
      </c>
      <c r="F7" s="7"/>
      <c r="G7" s="31"/>
      <c r="H7" s="43"/>
    </row>
    <row r="8" spans="1:8" s="11" customFormat="1" ht="15" hidden="1" customHeight="1" outlineLevel="3" x14ac:dyDescent="0.2">
      <c r="A8" s="2"/>
      <c r="B8" s="1"/>
      <c r="C8" s="27"/>
      <c r="D8" s="6"/>
      <c r="E8" s="7"/>
      <c r="F8" s="7"/>
      <c r="G8" s="31"/>
      <c r="H8" s="43"/>
    </row>
    <row r="9" spans="1:8" s="11" customFormat="1" ht="15" hidden="1" customHeight="1" outlineLevel="3" thickBot="1" x14ac:dyDescent="0.25">
      <c r="A9" s="2"/>
      <c r="B9" s="1"/>
      <c r="C9" s="27"/>
      <c r="D9" s="6"/>
      <c r="E9" s="7"/>
      <c r="F9" s="7"/>
      <c r="G9" s="31"/>
      <c r="H9" s="43"/>
    </row>
    <row r="10" spans="1:8" s="11" customFormat="1" ht="15" hidden="1" customHeight="1" outlineLevel="3" thickBot="1" x14ac:dyDescent="0.25">
      <c r="A10" s="2"/>
      <c r="B10" s="1"/>
      <c r="C10" s="27"/>
      <c r="D10" s="6"/>
      <c r="E10" s="7"/>
      <c r="F10" s="7"/>
      <c r="G10" s="31"/>
      <c r="H10" s="43"/>
    </row>
    <row r="11" spans="1:8" s="11" customFormat="1" ht="15" hidden="1" customHeight="1" outlineLevel="2" collapsed="1" thickBot="1" x14ac:dyDescent="0.25">
      <c r="A11" s="106">
        <f>A6+0.01</f>
        <v>1.1200000000000001</v>
      </c>
      <c r="B11" s="107"/>
      <c r="C11" s="27"/>
      <c r="D11" s="6"/>
      <c r="E11" s="7"/>
      <c r="F11" s="7"/>
      <c r="G11" s="31"/>
      <c r="H11" s="43"/>
    </row>
    <row r="12" spans="1:8" s="11" customFormat="1" ht="15" hidden="1" customHeight="1" outlineLevel="3" thickBot="1" x14ac:dyDescent="0.25">
      <c r="A12" s="2"/>
      <c r="B12" s="1"/>
      <c r="C12" s="27"/>
      <c r="D12" s="6"/>
      <c r="E12" s="7"/>
      <c r="F12" s="7"/>
      <c r="G12" s="31"/>
      <c r="H12" s="43"/>
    </row>
    <row r="13" spans="1:8" s="11" customFormat="1" ht="15" hidden="1" customHeight="1" outlineLevel="3" thickBot="1" x14ac:dyDescent="0.25">
      <c r="A13" s="2"/>
      <c r="B13" s="1"/>
      <c r="C13" s="27"/>
      <c r="D13" s="6"/>
      <c r="E13" s="7"/>
      <c r="F13" s="7"/>
      <c r="G13" s="31"/>
      <c r="H13" s="43"/>
    </row>
    <row r="14" spans="1:8" s="11" customFormat="1" ht="15" hidden="1" customHeight="1" outlineLevel="3" thickBot="1" x14ac:dyDescent="0.25">
      <c r="A14" s="2"/>
      <c r="B14" s="1"/>
      <c r="C14" s="27"/>
      <c r="D14" s="6"/>
      <c r="E14" s="7"/>
      <c r="F14" s="7"/>
      <c r="G14" s="31"/>
      <c r="H14" s="43"/>
    </row>
    <row r="15" spans="1:8" s="11" customFormat="1" ht="15" hidden="1" customHeight="1" outlineLevel="3" thickBot="1" x14ac:dyDescent="0.25">
      <c r="A15" s="2"/>
      <c r="B15" s="1"/>
      <c r="C15" s="27"/>
      <c r="D15" s="6"/>
      <c r="E15" s="7"/>
      <c r="F15" s="7"/>
      <c r="G15" s="31"/>
      <c r="H15" s="43"/>
    </row>
    <row r="16" spans="1:8" s="11" customFormat="1" ht="15" hidden="1" customHeight="1" outlineLevel="2" collapsed="1" thickBot="1" x14ac:dyDescent="0.25">
      <c r="A16" s="106">
        <f>A11+0.01</f>
        <v>1.1300000000000001</v>
      </c>
      <c r="B16" s="107"/>
      <c r="C16" s="27"/>
      <c r="D16" s="6"/>
      <c r="E16" s="7"/>
      <c r="F16" s="7"/>
      <c r="G16" s="31"/>
      <c r="H16" s="43"/>
    </row>
    <row r="17" spans="1:8" s="11" customFormat="1" ht="15" hidden="1" customHeight="1" outlineLevel="3" thickBot="1" x14ac:dyDescent="0.25">
      <c r="A17" s="2"/>
      <c r="B17" s="1"/>
      <c r="C17" s="27"/>
      <c r="D17" s="6"/>
      <c r="E17" s="7"/>
      <c r="F17" s="7"/>
      <c r="G17" s="31"/>
      <c r="H17" s="43"/>
    </row>
    <row r="18" spans="1:8" s="11" customFormat="1" ht="15" hidden="1" customHeight="1" outlineLevel="3" thickBot="1" x14ac:dyDescent="0.25">
      <c r="A18" s="2"/>
      <c r="B18" s="1"/>
      <c r="C18" s="27"/>
      <c r="D18" s="6"/>
      <c r="E18" s="7"/>
      <c r="F18" s="7"/>
      <c r="G18" s="31"/>
      <c r="H18" s="43"/>
    </row>
    <row r="19" spans="1:8" s="11" customFormat="1" ht="15" hidden="1" customHeight="1" outlineLevel="3" thickBot="1" x14ac:dyDescent="0.25">
      <c r="A19" s="2"/>
      <c r="B19" s="1"/>
      <c r="C19" s="27"/>
      <c r="D19" s="6"/>
      <c r="E19" s="7"/>
      <c r="F19" s="7"/>
      <c r="G19" s="31"/>
      <c r="H19" s="43"/>
    </row>
    <row r="20" spans="1:8" s="11" customFormat="1" ht="15" hidden="1" customHeight="1" outlineLevel="3" thickBot="1" x14ac:dyDescent="0.25">
      <c r="A20" s="2"/>
      <c r="B20" s="1"/>
      <c r="C20" s="27"/>
      <c r="D20" s="6"/>
      <c r="E20" s="7"/>
      <c r="F20" s="7"/>
      <c r="G20" s="31"/>
      <c r="H20" s="43"/>
    </row>
    <row r="21" spans="1:8" s="11" customFormat="1" ht="15" hidden="1" customHeight="1" outlineLevel="2" collapsed="1" thickBot="1" x14ac:dyDescent="0.25">
      <c r="A21" s="2">
        <f>A16+0.01</f>
        <v>1.1400000000000001</v>
      </c>
      <c r="B21" s="1"/>
      <c r="C21" s="27"/>
      <c r="D21" s="6"/>
      <c r="E21" s="7"/>
      <c r="F21" s="7"/>
      <c r="G21" s="31"/>
      <c r="H21" s="43"/>
    </row>
    <row r="22" spans="1:8" s="11" customFormat="1" ht="15" hidden="1" customHeight="1" outlineLevel="3" thickBot="1" x14ac:dyDescent="0.25">
      <c r="A22" s="2"/>
      <c r="B22" s="1"/>
      <c r="C22" s="27"/>
      <c r="D22" s="6"/>
      <c r="E22" s="7"/>
      <c r="F22" s="7"/>
      <c r="G22" s="31"/>
      <c r="H22" s="43"/>
    </row>
    <row r="23" spans="1:8" s="11" customFormat="1" ht="15" hidden="1" customHeight="1" outlineLevel="3" thickBot="1" x14ac:dyDescent="0.25">
      <c r="A23" s="2"/>
      <c r="B23" s="1"/>
      <c r="C23" s="27"/>
      <c r="D23" s="6"/>
      <c r="E23" s="7"/>
      <c r="F23" s="7"/>
      <c r="G23" s="31"/>
      <c r="H23" s="43"/>
    </row>
    <row r="24" spans="1:8" s="11" customFormat="1" ht="15" hidden="1" customHeight="1" outlineLevel="3" thickBot="1" x14ac:dyDescent="0.25">
      <c r="A24" s="2"/>
      <c r="B24" s="1"/>
      <c r="C24" s="27"/>
      <c r="D24" s="6"/>
      <c r="E24" s="7"/>
      <c r="F24" s="7"/>
      <c r="G24" s="31"/>
      <c r="H24" s="43"/>
    </row>
    <row r="25" spans="1:8" s="11" customFormat="1" ht="15" hidden="1" customHeight="1" outlineLevel="3" thickBot="1" x14ac:dyDescent="0.25">
      <c r="A25" s="2"/>
      <c r="B25" s="1"/>
      <c r="C25" s="27"/>
      <c r="D25" s="6"/>
      <c r="E25" s="7"/>
      <c r="F25" s="7"/>
      <c r="G25" s="31"/>
      <c r="H25" s="43"/>
    </row>
    <row r="26" spans="1:8" s="11" customFormat="1" ht="15" hidden="1" customHeight="1" outlineLevel="2" collapsed="1" thickBot="1" x14ac:dyDescent="0.25">
      <c r="A26" s="106">
        <f>A21+0.01</f>
        <v>1.1500000000000001</v>
      </c>
      <c r="B26" s="107"/>
      <c r="C26" s="27"/>
      <c r="D26" s="6"/>
      <c r="E26" s="7"/>
      <c r="F26" s="30"/>
      <c r="G26" s="31"/>
      <c r="H26" s="43"/>
    </row>
    <row r="27" spans="1:8" s="11" customFormat="1" ht="15" hidden="1" customHeight="1" outlineLevel="3" thickBot="1" x14ac:dyDescent="0.25">
      <c r="A27" s="2"/>
      <c r="B27" s="1"/>
      <c r="C27" s="27"/>
      <c r="D27" s="6"/>
      <c r="E27" s="7"/>
      <c r="F27" s="7"/>
      <c r="G27" s="31"/>
      <c r="H27" s="43"/>
    </row>
    <row r="28" spans="1:8" s="11" customFormat="1" ht="15" hidden="1" customHeight="1" outlineLevel="3" thickBot="1" x14ac:dyDescent="0.25">
      <c r="A28" s="2"/>
      <c r="B28" s="1"/>
      <c r="C28" s="27"/>
      <c r="D28" s="6"/>
      <c r="E28" s="7"/>
      <c r="F28" s="7"/>
      <c r="G28" s="31"/>
      <c r="H28" s="43"/>
    </row>
    <row r="29" spans="1:8" s="11" customFormat="1" ht="15" hidden="1" customHeight="1" outlineLevel="3" thickBot="1" x14ac:dyDescent="0.25">
      <c r="A29" s="2"/>
      <c r="B29" s="1"/>
      <c r="C29" s="27"/>
      <c r="D29" s="6"/>
      <c r="E29" s="7"/>
      <c r="F29" s="7"/>
      <c r="G29" s="31"/>
      <c r="H29" s="43"/>
    </row>
    <row r="30" spans="1:8" s="11" customFormat="1" ht="15" hidden="1" customHeight="1" outlineLevel="3" thickBot="1" x14ac:dyDescent="0.25">
      <c r="A30" s="2"/>
      <c r="B30" s="1"/>
      <c r="C30" s="27"/>
      <c r="D30" s="6"/>
      <c r="E30" s="7"/>
      <c r="F30" s="7"/>
      <c r="G30" s="31"/>
      <c r="H30" s="43"/>
    </row>
    <row r="31" spans="1:8" s="11" customFormat="1" ht="15" hidden="1" customHeight="1" outlineLevel="1" collapsed="1" thickBot="1" x14ac:dyDescent="0.25">
      <c r="A31" s="2">
        <f>A5+0.1</f>
        <v>1.2000000000000002</v>
      </c>
      <c r="B31" s="1"/>
      <c r="C31" s="28"/>
      <c r="D31" s="5"/>
      <c r="E31" s="9"/>
      <c r="F31" s="10"/>
      <c r="G31" s="37"/>
      <c r="H31" s="36"/>
    </row>
    <row r="32" spans="1:8" s="11" customFormat="1" ht="15" hidden="1" customHeight="1" outlineLevel="2" collapsed="1" thickBot="1" x14ac:dyDescent="0.25">
      <c r="A32" s="106">
        <f>A31+0.01</f>
        <v>1.2100000000000002</v>
      </c>
      <c r="B32" s="107"/>
      <c r="C32" s="27"/>
      <c r="D32" s="6"/>
      <c r="E32" s="7"/>
      <c r="F32" s="7"/>
      <c r="G32" s="31"/>
      <c r="H32" s="43"/>
    </row>
    <row r="33" spans="1:8" s="11" customFormat="1" ht="15" hidden="1" customHeight="1" outlineLevel="3" thickBot="1" x14ac:dyDescent="0.25">
      <c r="A33" s="2"/>
      <c r="B33" s="1"/>
      <c r="C33" s="27"/>
      <c r="D33" s="6"/>
      <c r="E33" s="7"/>
      <c r="F33" s="7"/>
      <c r="G33" s="31"/>
      <c r="H33" s="43"/>
    </row>
    <row r="34" spans="1:8" s="11" customFormat="1" ht="15" hidden="1" customHeight="1" outlineLevel="3" thickBot="1" x14ac:dyDescent="0.25">
      <c r="A34" s="2"/>
      <c r="B34" s="1"/>
      <c r="C34" s="27"/>
      <c r="D34" s="6"/>
      <c r="E34" s="7"/>
      <c r="F34" s="7"/>
      <c r="G34" s="31"/>
      <c r="H34" s="43"/>
    </row>
    <row r="35" spans="1:8" s="11" customFormat="1" ht="15" hidden="1" customHeight="1" outlineLevel="3" thickBot="1" x14ac:dyDescent="0.25">
      <c r="A35" s="2"/>
      <c r="B35" s="1"/>
      <c r="C35" s="27"/>
      <c r="D35" s="6"/>
      <c r="E35" s="7"/>
      <c r="F35" s="7"/>
      <c r="G35" s="31"/>
      <c r="H35" s="43"/>
    </row>
    <row r="36" spans="1:8" s="11" customFormat="1" ht="15" hidden="1" customHeight="1" outlineLevel="3" thickBot="1" x14ac:dyDescent="0.25">
      <c r="A36" s="2"/>
      <c r="B36" s="1"/>
      <c r="C36" s="27"/>
      <c r="D36" s="6"/>
      <c r="E36" s="7"/>
      <c r="F36" s="7"/>
      <c r="G36" s="31"/>
      <c r="H36" s="43"/>
    </row>
    <row r="37" spans="1:8" s="11" customFormat="1" ht="15" hidden="1" customHeight="1" outlineLevel="2" collapsed="1" thickBot="1" x14ac:dyDescent="0.25">
      <c r="A37" s="106">
        <f>A32+0.01</f>
        <v>1.2200000000000002</v>
      </c>
      <c r="B37" s="107"/>
      <c r="C37" s="27"/>
      <c r="D37" s="6"/>
      <c r="E37" s="7"/>
      <c r="F37" s="7"/>
      <c r="G37" s="31"/>
      <c r="H37" s="43"/>
    </row>
    <row r="38" spans="1:8" s="11" customFormat="1" ht="15" hidden="1" customHeight="1" outlineLevel="3" thickBot="1" x14ac:dyDescent="0.25">
      <c r="A38" s="2"/>
      <c r="B38" s="1"/>
      <c r="C38" s="27"/>
      <c r="D38" s="6"/>
      <c r="E38" s="7"/>
      <c r="F38" s="7"/>
      <c r="G38" s="31"/>
      <c r="H38" s="43"/>
    </row>
    <row r="39" spans="1:8" s="11" customFormat="1" ht="15" hidden="1" customHeight="1" outlineLevel="3" thickBot="1" x14ac:dyDescent="0.25">
      <c r="A39" s="2"/>
      <c r="B39" s="1"/>
      <c r="C39" s="27"/>
      <c r="D39" s="6"/>
      <c r="E39" s="7"/>
      <c r="F39" s="7"/>
      <c r="G39" s="31"/>
      <c r="H39" s="43"/>
    </row>
    <row r="40" spans="1:8" s="11" customFormat="1" ht="15" hidden="1" customHeight="1" outlineLevel="3" thickBot="1" x14ac:dyDescent="0.25">
      <c r="A40" s="2"/>
      <c r="B40" s="1"/>
      <c r="C40" s="27"/>
      <c r="D40" s="6"/>
      <c r="E40" s="7"/>
      <c r="F40" s="7"/>
      <c r="G40" s="31"/>
      <c r="H40" s="43"/>
    </row>
    <row r="41" spans="1:8" s="11" customFormat="1" ht="15" hidden="1" customHeight="1" outlineLevel="3" thickBot="1" x14ac:dyDescent="0.25">
      <c r="A41" s="2"/>
      <c r="B41" s="1"/>
      <c r="C41" s="27"/>
      <c r="D41" s="6"/>
      <c r="E41" s="7"/>
      <c r="F41" s="7"/>
      <c r="G41" s="31"/>
      <c r="H41" s="43"/>
    </row>
    <row r="42" spans="1:8" s="11" customFormat="1" ht="15" hidden="1" customHeight="1" outlineLevel="2" collapsed="1" thickBot="1" x14ac:dyDescent="0.25">
      <c r="A42" s="106">
        <f>A37+0.01</f>
        <v>1.2300000000000002</v>
      </c>
      <c r="B42" s="107"/>
      <c r="C42" s="27"/>
      <c r="D42" s="6"/>
      <c r="E42" s="7"/>
      <c r="F42" s="7"/>
      <c r="G42" s="31"/>
      <c r="H42" s="43"/>
    </row>
    <row r="43" spans="1:8" s="11" customFormat="1" ht="15" hidden="1" customHeight="1" outlineLevel="3" thickBot="1" x14ac:dyDescent="0.25">
      <c r="A43" s="2"/>
      <c r="B43" s="1"/>
      <c r="C43" s="27"/>
      <c r="D43" s="6"/>
      <c r="E43" s="7"/>
      <c r="F43" s="7"/>
      <c r="G43" s="31"/>
      <c r="H43" s="43"/>
    </row>
    <row r="44" spans="1:8" s="11" customFormat="1" ht="15" hidden="1" customHeight="1" outlineLevel="3" thickBot="1" x14ac:dyDescent="0.25">
      <c r="A44" s="2"/>
      <c r="B44" s="1"/>
      <c r="C44" s="27"/>
      <c r="D44" s="6"/>
      <c r="E44" s="7"/>
      <c r="F44" s="7"/>
      <c r="G44" s="31"/>
      <c r="H44" s="43"/>
    </row>
    <row r="45" spans="1:8" s="11" customFormat="1" ht="15" hidden="1" customHeight="1" outlineLevel="3" thickBot="1" x14ac:dyDescent="0.25">
      <c r="A45" s="2"/>
      <c r="B45" s="1"/>
      <c r="C45" s="27"/>
      <c r="D45" s="6"/>
      <c r="E45" s="7"/>
      <c r="F45" s="7"/>
      <c r="G45" s="31"/>
      <c r="H45" s="43"/>
    </row>
    <row r="46" spans="1:8" s="11" customFormat="1" ht="15" hidden="1" customHeight="1" outlineLevel="3" thickBot="1" x14ac:dyDescent="0.25">
      <c r="A46" s="2"/>
      <c r="B46" s="1"/>
      <c r="C46" s="27"/>
      <c r="D46" s="6"/>
      <c r="E46" s="7"/>
      <c r="F46" s="7"/>
      <c r="G46" s="31"/>
      <c r="H46" s="43"/>
    </row>
    <row r="47" spans="1:8" s="11" customFormat="1" ht="15" hidden="1" customHeight="1" outlineLevel="2" collapsed="1" thickBot="1" x14ac:dyDescent="0.25">
      <c r="A47" s="2">
        <f>A42+0.01</f>
        <v>1.2400000000000002</v>
      </c>
      <c r="B47" s="1"/>
      <c r="C47" s="27"/>
      <c r="D47" s="6"/>
      <c r="E47" s="7"/>
      <c r="F47" s="7"/>
      <c r="G47" s="31"/>
      <c r="H47" s="43"/>
    </row>
    <row r="48" spans="1:8" s="11" customFormat="1" ht="15" hidden="1" customHeight="1" outlineLevel="3" thickBot="1" x14ac:dyDescent="0.25">
      <c r="A48" s="2"/>
      <c r="B48" s="1"/>
      <c r="C48" s="27"/>
      <c r="D48" s="6"/>
      <c r="E48" s="7"/>
      <c r="F48" s="7"/>
      <c r="G48" s="31"/>
      <c r="H48" s="43"/>
    </row>
    <row r="49" spans="1:8" s="11" customFormat="1" ht="15" hidden="1" customHeight="1" outlineLevel="3" thickBot="1" x14ac:dyDescent="0.25">
      <c r="A49" s="2"/>
      <c r="B49" s="1"/>
      <c r="C49" s="27"/>
      <c r="D49" s="6"/>
      <c r="E49" s="7"/>
      <c r="F49" s="7"/>
      <c r="G49" s="31"/>
      <c r="H49" s="43"/>
    </row>
    <row r="50" spans="1:8" s="11" customFormat="1" ht="15" hidden="1" customHeight="1" outlineLevel="3" thickBot="1" x14ac:dyDescent="0.25">
      <c r="A50" s="2"/>
      <c r="B50" s="1"/>
      <c r="C50" s="27"/>
      <c r="D50" s="6"/>
      <c r="E50" s="7"/>
      <c r="F50" s="7"/>
      <c r="G50" s="31"/>
      <c r="H50" s="43"/>
    </row>
    <row r="51" spans="1:8" s="11" customFormat="1" ht="15" hidden="1" customHeight="1" outlineLevel="3" thickBot="1" x14ac:dyDescent="0.25">
      <c r="A51" s="2"/>
      <c r="B51" s="1"/>
      <c r="C51" s="27"/>
      <c r="D51" s="6"/>
      <c r="E51" s="7"/>
      <c r="F51" s="7"/>
      <c r="G51" s="31"/>
      <c r="H51" s="43"/>
    </row>
    <row r="52" spans="1:8" s="11" customFormat="1" ht="15" hidden="1" customHeight="1" outlineLevel="2" collapsed="1" thickBot="1" x14ac:dyDescent="0.25">
      <c r="A52" s="106">
        <f>A47+0.01</f>
        <v>1.2500000000000002</v>
      </c>
      <c r="B52" s="107"/>
      <c r="C52" s="27"/>
      <c r="D52" s="6"/>
      <c r="E52" s="7"/>
      <c r="F52" s="30"/>
      <c r="G52" s="31"/>
      <c r="H52" s="43"/>
    </row>
    <row r="53" spans="1:8" s="11" customFormat="1" ht="15" hidden="1" customHeight="1" outlineLevel="3" thickBot="1" x14ac:dyDescent="0.25">
      <c r="A53" s="2"/>
      <c r="B53" s="1"/>
      <c r="C53" s="27"/>
      <c r="D53" s="6"/>
      <c r="E53" s="7"/>
      <c r="F53" s="7"/>
      <c r="G53" s="31"/>
      <c r="H53" s="43"/>
    </row>
    <row r="54" spans="1:8" s="11" customFormat="1" ht="15" hidden="1" customHeight="1" outlineLevel="3" thickBot="1" x14ac:dyDescent="0.25">
      <c r="A54" s="2"/>
      <c r="B54" s="1"/>
      <c r="C54" s="27"/>
      <c r="D54" s="6"/>
      <c r="E54" s="7"/>
      <c r="F54" s="7"/>
      <c r="G54" s="31"/>
      <c r="H54" s="43"/>
    </row>
    <row r="55" spans="1:8" s="11" customFormat="1" ht="15" hidden="1" customHeight="1" outlineLevel="3" thickBot="1" x14ac:dyDescent="0.25">
      <c r="A55" s="2"/>
      <c r="B55" s="1"/>
      <c r="C55" s="27"/>
      <c r="D55" s="6"/>
      <c r="E55" s="7"/>
      <c r="F55" s="7"/>
      <c r="G55" s="31"/>
      <c r="H55" s="43"/>
    </row>
    <row r="56" spans="1:8" s="11" customFormat="1" ht="15" hidden="1" customHeight="1" outlineLevel="3" thickBot="1" x14ac:dyDescent="0.25">
      <c r="A56" s="2"/>
      <c r="B56" s="1"/>
      <c r="C56" s="27"/>
      <c r="D56" s="6"/>
      <c r="E56" s="7"/>
      <c r="F56" s="7"/>
      <c r="G56" s="31"/>
      <c r="H56" s="43"/>
    </row>
    <row r="57" spans="1:8" s="11" customFormat="1" ht="15" hidden="1" customHeight="1" outlineLevel="1" collapsed="1" thickBot="1" x14ac:dyDescent="0.25">
      <c r="A57" s="2">
        <f>A31+0.1</f>
        <v>1.3000000000000003</v>
      </c>
      <c r="B57" s="1"/>
      <c r="C57" s="28"/>
      <c r="D57" s="5"/>
      <c r="E57" s="9"/>
      <c r="F57" s="10"/>
      <c r="G57" s="37"/>
      <c r="H57" s="36"/>
    </row>
    <row r="58" spans="1:8" s="11" customFormat="1" ht="15" hidden="1" customHeight="1" outlineLevel="2" collapsed="1" thickBot="1" x14ac:dyDescent="0.25">
      <c r="A58" s="106">
        <f>A57+0.01</f>
        <v>1.3100000000000003</v>
      </c>
      <c r="B58" s="107"/>
      <c r="C58" s="27"/>
      <c r="D58" s="6"/>
      <c r="E58" s="7"/>
      <c r="F58" s="7"/>
      <c r="G58" s="31"/>
      <c r="H58" s="43"/>
    </row>
    <row r="59" spans="1:8" s="11" customFormat="1" ht="15" hidden="1" customHeight="1" outlineLevel="3" thickBot="1" x14ac:dyDescent="0.25">
      <c r="A59" s="2"/>
      <c r="B59" s="1"/>
      <c r="C59" s="27"/>
      <c r="D59" s="6"/>
      <c r="E59" s="7"/>
      <c r="F59" s="7"/>
      <c r="G59" s="31"/>
      <c r="H59" s="43"/>
    </row>
    <row r="60" spans="1:8" s="11" customFormat="1" ht="15" hidden="1" customHeight="1" outlineLevel="3" thickBot="1" x14ac:dyDescent="0.25">
      <c r="A60" s="2"/>
      <c r="B60" s="1"/>
      <c r="C60" s="27"/>
      <c r="D60" s="6"/>
      <c r="E60" s="7"/>
      <c r="F60" s="7"/>
      <c r="G60" s="31"/>
      <c r="H60" s="43"/>
    </row>
    <row r="61" spans="1:8" s="11" customFormat="1" ht="15" hidden="1" customHeight="1" outlineLevel="3" thickBot="1" x14ac:dyDescent="0.25">
      <c r="A61" s="2"/>
      <c r="B61" s="1"/>
      <c r="C61" s="27"/>
      <c r="D61" s="6"/>
      <c r="E61" s="7"/>
      <c r="F61" s="7"/>
      <c r="G61" s="31"/>
      <c r="H61" s="43"/>
    </row>
    <row r="62" spans="1:8" s="11" customFormat="1" ht="15" hidden="1" customHeight="1" outlineLevel="3" thickBot="1" x14ac:dyDescent="0.25">
      <c r="A62" s="2"/>
      <c r="B62" s="1"/>
      <c r="C62" s="27"/>
      <c r="D62" s="6"/>
      <c r="E62" s="7"/>
      <c r="F62" s="7"/>
      <c r="G62" s="31"/>
      <c r="H62" s="43"/>
    </row>
    <row r="63" spans="1:8" s="11" customFormat="1" ht="15" hidden="1" customHeight="1" outlineLevel="2" collapsed="1" thickBot="1" x14ac:dyDescent="0.25">
      <c r="A63" s="106">
        <f>A58+0.01</f>
        <v>1.3200000000000003</v>
      </c>
      <c r="B63" s="107"/>
      <c r="C63" s="27"/>
      <c r="D63" s="6"/>
      <c r="E63" s="7"/>
      <c r="F63" s="7"/>
      <c r="G63" s="31"/>
      <c r="H63" s="43"/>
    </row>
    <row r="64" spans="1:8" s="11" customFormat="1" ht="15" hidden="1" customHeight="1" outlineLevel="3" thickBot="1" x14ac:dyDescent="0.25">
      <c r="A64" s="2"/>
      <c r="B64" s="1"/>
      <c r="C64" s="27"/>
      <c r="D64" s="6"/>
      <c r="E64" s="7"/>
      <c r="F64" s="7"/>
      <c r="G64" s="31"/>
      <c r="H64" s="43"/>
    </row>
    <row r="65" spans="1:8" s="11" customFormat="1" ht="15" hidden="1" customHeight="1" outlineLevel="3" thickBot="1" x14ac:dyDescent="0.25">
      <c r="A65" s="2"/>
      <c r="B65" s="1"/>
      <c r="C65" s="27"/>
      <c r="D65" s="6"/>
      <c r="E65" s="7"/>
      <c r="F65" s="7"/>
      <c r="G65" s="31"/>
      <c r="H65" s="43"/>
    </row>
    <row r="66" spans="1:8" s="11" customFormat="1" ht="15" hidden="1" customHeight="1" outlineLevel="3" thickBot="1" x14ac:dyDescent="0.25">
      <c r="A66" s="2"/>
      <c r="B66" s="1"/>
      <c r="C66" s="27"/>
      <c r="D66" s="6"/>
      <c r="E66" s="7"/>
      <c r="F66" s="7"/>
      <c r="G66" s="31"/>
      <c r="H66" s="43"/>
    </row>
    <row r="67" spans="1:8" s="11" customFormat="1" ht="15" hidden="1" customHeight="1" outlineLevel="3" thickBot="1" x14ac:dyDescent="0.25">
      <c r="A67" s="2"/>
      <c r="B67" s="1"/>
      <c r="C67" s="27"/>
      <c r="D67" s="6"/>
      <c r="E67" s="7"/>
      <c r="F67" s="7"/>
      <c r="G67" s="31"/>
      <c r="H67" s="43"/>
    </row>
    <row r="68" spans="1:8" s="11" customFormat="1" ht="15" hidden="1" customHeight="1" outlineLevel="2" collapsed="1" thickBot="1" x14ac:dyDescent="0.25">
      <c r="A68" s="106">
        <f>A63+0.01</f>
        <v>1.3300000000000003</v>
      </c>
      <c r="B68" s="107"/>
      <c r="C68" s="27"/>
      <c r="D68" s="6"/>
      <c r="E68" s="7"/>
      <c r="F68" s="7"/>
      <c r="G68" s="31"/>
      <c r="H68" s="43"/>
    </row>
    <row r="69" spans="1:8" s="11" customFormat="1" ht="15" hidden="1" customHeight="1" outlineLevel="3" thickBot="1" x14ac:dyDescent="0.25">
      <c r="A69" s="2"/>
      <c r="B69" s="1"/>
      <c r="C69" s="27"/>
      <c r="D69" s="6"/>
      <c r="E69" s="7"/>
      <c r="F69" s="7"/>
      <c r="G69" s="31"/>
      <c r="H69" s="43"/>
    </row>
    <row r="70" spans="1:8" s="11" customFormat="1" ht="15" hidden="1" customHeight="1" outlineLevel="3" thickBot="1" x14ac:dyDescent="0.25">
      <c r="A70" s="2"/>
      <c r="B70" s="1"/>
      <c r="C70" s="27"/>
      <c r="D70" s="6"/>
      <c r="E70" s="7"/>
      <c r="F70" s="7"/>
      <c r="G70" s="31"/>
      <c r="H70" s="43"/>
    </row>
    <row r="71" spans="1:8" s="11" customFormat="1" ht="15" hidden="1" customHeight="1" outlineLevel="3" thickBot="1" x14ac:dyDescent="0.25">
      <c r="A71" s="2"/>
      <c r="B71" s="1"/>
      <c r="C71" s="27"/>
      <c r="D71" s="6"/>
      <c r="E71" s="7"/>
      <c r="F71" s="7"/>
      <c r="G71" s="31"/>
      <c r="H71" s="43"/>
    </row>
    <row r="72" spans="1:8" s="11" customFormat="1" ht="15" hidden="1" customHeight="1" outlineLevel="3" thickBot="1" x14ac:dyDescent="0.25">
      <c r="A72" s="2"/>
      <c r="B72" s="1"/>
      <c r="C72" s="27"/>
      <c r="D72" s="6"/>
      <c r="E72" s="7"/>
      <c r="F72" s="7"/>
      <c r="G72" s="31"/>
      <c r="H72" s="43"/>
    </row>
    <row r="73" spans="1:8" s="11" customFormat="1" ht="15" hidden="1" customHeight="1" outlineLevel="2" collapsed="1" thickBot="1" x14ac:dyDescent="0.25">
      <c r="A73" s="2">
        <f>A68+0.01</f>
        <v>1.3400000000000003</v>
      </c>
      <c r="B73" s="1"/>
      <c r="C73" s="27"/>
      <c r="D73" s="6"/>
      <c r="E73" s="7"/>
      <c r="F73" s="7"/>
      <c r="G73" s="31"/>
      <c r="H73" s="43"/>
    </row>
    <row r="74" spans="1:8" s="11" customFormat="1" ht="15" hidden="1" customHeight="1" outlineLevel="3" thickBot="1" x14ac:dyDescent="0.25">
      <c r="A74" s="2"/>
      <c r="B74" s="1"/>
      <c r="C74" s="27"/>
      <c r="D74" s="6"/>
      <c r="E74" s="7"/>
      <c r="F74" s="7"/>
      <c r="G74" s="31"/>
      <c r="H74" s="43"/>
    </row>
    <row r="75" spans="1:8" s="11" customFormat="1" ht="15" hidden="1" customHeight="1" outlineLevel="3" thickBot="1" x14ac:dyDescent="0.25">
      <c r="A75" s="2"/>
      <c r="B75" s="1"/>
      <c r="C75" s="27"/>
      <c r="D75" s="6"/>
      <c r="E75" s="7"/>
      <c r="F75" s="7"/>
      <c r="G75" s="31"/>
      <c r="H75" s="43"/>
    </row>
    <row r="76" spans="1:8" s="11" customFormat="1" ht="15" hidden="1" customHeight="1" outlineLevel="3" thickBot="1" x14ac:dyDescent="0.25">
      <c r="A76" s="2"/>
      <c r="B76" s="1"/>
      <c r="C76" s="27"/>
      <c r="D76" s="6"/>
      <c r="E76" s="7"/>
      <c r="F76" s="7"/>
      <c r="G76" s="31"/>
      <c r="H76" s="43"/>
    </row>
    <row r="77" spans="1:8" s="11" customFormat="1" ht="15" hidden="1" customHeight="1" outlineLevel="3" thickBot="1" x14ac:dyDescent="0.25">
      <c r="A77" s="2"/>
      <c r="B77" s="1"/>
      <c r="C77" s="27"/>
      <c r="D77" s="6"/>
      <c r="E77" s="7"/>
      <c r="F77" s="7"/>
      <c r="G77" s="31"/>
      <c r="H77" s="43"/>
    </row>
    <row r="78" spans="1:8" s="11" customFormat="1" ht="15" hidden="1" customHeight="1" outlineLevel="2" collapsed="1" thickBot="1" x14ac:dyDescent="0.25">
      <c r="A78" s="106">
        <f>A73+0.01</f>
        <v>1.3500000000000003</v>
      </c>
      <c r="B78" s="107"/>
      <c r="C78" s="27"/>
      <c r="D78" s="6"/>
      <c r="E78" s="7"/>
      <c r="F78" s="30"/>
      <c r="G78" s="31"/>
      <c r="H78" s="43"/>
    </row>
    <row r="79" spans="1:8" s="11" customFormat="1" ht="15" hidden="1" customHeight="1" outlineLevel="3" thickBot="1" x14ac:dyDescent="0.25">
      <c r="A79" s="2"/>
      <c r="B79" s="1"/>
      <c r="C79" s="27"/>
      <c r="D79" s="6"/>
      <c r="E79" s="7"/>
      <c r="F79" s="7"/>
      <c r="G79" s="31"/>
      <c r="H79" s="43"/>
    </row>
    <row r="80" spans="1:8" s="11" customFormat="1" ht="15" hidden="1" customHeight="1" outlineLevel="3" thickBot="1" x14ac:dyDescent="0.25">
      <c r="A80" s="2"/>
      <c r="B80" s="1"/>
      <c r="C80" s="27"/>
      <c r="D80" s="6"/>
      <c r="E80" s="7"/>
      <c r="F80" s="7"/>
      <c r="G80" s="31"/>
      <c r="H80" s="43"/>
    </row>
    <row r="81" spans="1:8" s="11" customFormat="1" ht="15" hidden="1" customHeight="1" outlineLevel="3" thickBot="1" x14ac:dyDescent="0.25">
      <c r="A81" s="2"/>
      <c r="B81" s="1"/>
      <c r="C81" s="27"/>
      <c r="D81" s="6"/>
      <c r="E81" s="7"/>
      <c r="F81" s="7"/>
      <c r="G81" s="31"/>
      <c r="H81" s="43"/>
    </row>
    <row r="82" spans="1:8" s="11" customFormat="1" ht="15" hidden="1" customHeight="1" outlineLevel="3" thickBot="1" x14ac:dyDescent="0.25">
      <c r="A82" s="2"/>
      <c r="B82" s="1"/>
      <c r="C82" s="27"/>
      <c r="D82" s="6"/>
      <c r="E82" s="7"/>
      <c r="F82" s="7"/>
      <c r="G82" s="31"/>
      <c r="H82" s="43"/>
    </row>
    <row r="83" spans="1:8" s="11" customFormat="1" ht="15" hidden="1" customHeight="1" outlineLevel="1" collapsed="1" thickBot="1" x14ac:dyDescent="0.25">
      <c r="A83" s="2">
        <f>A57+0.1</f>
        <v>1.4000000000000004</v>
      </c>
      <c r="B83" s="1"/>
      <c r="C83" s="28"/>
      <c r="D83" s="5"/>
      <c r="E83" s="9"/>
      <c r="F83" s="10"/>
      <c r="G83" s="37"/>
      <c r="H83" s="36"/>
    </row>
    <row r="84" spans="1:8" s="11" customFormat="1" ht="15" hidden="1" customHeight="1" outlineLevel="2" collapsed="1" thickBot="1" x14ac:dyDescent="0.25">
      <c r="A84" s="106">
        <f>A83+0.01</f>
        <v>1.4100000000000004</v>
      </c>
      <c r="B84" s="107"/>
      <c r="C84" s="27"/>
      <c r="D84" s="6"/>
      <c r="E84" s="7"/>
      <c r="F84" s="7"/>
      <c r="G84" s="31"/>
      <c r="H84" s="43"/>
    </row>
    <row r="85" spans="1:8" s="11" customFormat="1" ht="15" hidden="1" customHeight="1" outlineLevel="3" thickBot="1" x14ac:dyDescent="0.25">
      <c r="A85" s="2"/>
      <c r="B85" s="1"/>
      <c r="C85" s="27"/>
      <c r="D85" s="6"/>
      <c r="E85" s="7"/>
      <c r="F85" s="7"/>
      <c r="G85" s="31"/>
      <c r="H85" s="43"/>
    </row>
    <row r="86" spans="1:8" s="11" customFormat="1" ht="15" hidden="1" customHeight="1" outlineLevel="3" thickBot="1" x14ac:dyDescent="0.25">
      <c r="A86" s="2"/>
      <c r="B86" s="1"/>
      <c r="C86" s="27"/>
      <c r="D86" s="6"/>
      <c r="E86" s="7"/>
      <c r="F86" s="7"/>
      <c r="G86" s="31"/>
      <c r="H86" s="43"/>
    </row>
    <row r="87" spans="1:8" s="11" customFormat="1" ht="15" hidden="1" customHeight="1" outlineLevel="3" thickBot="1" x14ac:dyDescent="0.25">
      <c r="A87" s="2"/>
      <c r="B87" s="1"/>
      <c r="C87" s="27"/>
      <c r="D87" s="6"/>
      <c r="E87" s="7"/>
      <c r="F87" s="7"/>
      <c r="G87" s="31"/>
      <c r="H87" s="43"/>
    </row>
    <row r="88" spans="1:8" s="11" customFormat="1" ht="15" hidden="1" customHeight="1" outlineLevel="3" thickBot="1" x14ac:dyDescent="0.25">
      <c r="A88" s="2"/>
      <c r="B88" s="1"/>
      <c r="C88" s="27"/>
      <c r="D88" s="6"/>
      <c r="E88" s="7"/>
      <c r="F88" s="7"/>
      <c r="G88" s="31"/>
      <c r="H88" s="43"/>
    </row>
    <row r="89" spans="1:8" s="11" customFormat="1" ht="15" hidden="1" customHeight="1" outlineLevel="2" collapsed="1" thickBot="1" x14ac:dyDescent="0.25">
      <c r="A89" s="106">
        <f>A84+0.01</f>
        <v>1.4200000000000004</v>
      </c>
      <c r="B89" s="107"/>
      <c r="C89" s="27"/>
      <c r="D89" s="6"/>
      <c r="E89" s="7"/>
      <c r="F89" s="7"/>
      <c r="G89" s="31"/>
      <c r="H89" s="43"/>
    </row>
    <row r="90" spans="1:8" s="11" customFormat="1" ht="15" hidden="1" customHeight="1" outlineLevel="3" thickBot="1" x14ac:dyDescent="0.25">
      <c r="A90" s="2"/>
      <c r="B90" s="1"/>
      <c r="C90" s="27"/>
      <c r="D90" s="6"/>
      <c r="E90" s="7"/>
      <c r="F90" s="7"/>
      <c r="G90" s="31"/>
      <c r="H90" s="43"/>
    </row>
    <row r="91" spans="1:8" s="11" customFormat="1" ht="15" hidden="1" customHeight="1" outlineLevel="3" thickBot="1" x14ac:dyDescent="0.25">
      <c r="A91" s="2"/>
      <c r="B91" s="1"/>
      <c r="C91" s="27"/>
      <c r="D91" s="6"/>
      <c r="E91" s="7"/>
      <c r="F91" s="7"/>
      <c r="G91" s="31"/>
      <c r="H91" s="43"/>
    </row>
    <row r="92" spans="1:8" s="11" customFormat="1" ht="15" hidden="1" customHeight="1" outlineLevel="3" thickBot="1" x14ac:dyDescent="0.25">
      <c r="A92" s="2"/>
      <c r="B92" s="1"/>
      <c r="C92" s="27"/>
      <c r="D92" s="6"/>
      <c r="E92" s="7"/>
      <c r="F92" s="7"/>
      <c r="G92" s="31"/>
      <c r="H92" s="43"/>
    </row>
    <row r="93" spans="1:8" s="11" customFormat="1" ht="15" hidden="1" customHeight="1" outlineLevel="3" thickBot="1" x14ac:dyDescent="0.25">
      <c r="A93" s="2"/>
      <c r="B93" s="1"/>
      <c r="C93" s="27"/>
      <c r="D93" s="6"/>
      <c r="E93" s="7"/>
      <c r="F93" s="7"/>
      <c r="G93" s="31"/>
      <c r="H93" s="43"/>
    </row>
    <row r="94" spans="1:8" s="11" customFormat="1" ht="15" hidden="1" customHeight="1" outlineLevel="2" collapsed="1" thickBot="1" x14ac:dyDescent="0.25">
      <c r="A94" s="106">
        <f>A89+0.01</f>
        <v>1.4300000000000004</v>
      </c>
      <c r="B94" s="107"/>
      <c r="C94" s="27"/>
      <c r="D94" s="6"/>
      <c r="E94" s="7"/>
      <c r="F94" s="7"/>
      <c r="G94" s="31"/>
      <c r="H94" s="43"/>
    </row>
    <row r="95" spans="1:8" s="11" customFormat="1" ht="15" hidden="1" customHeight="1" outlineLevel="3" thickBot="1" x14ac:dyDescent="0.25">
      <c r="A95" s="2"/>
      <c r="B95" s="1"/>
      <c r="C95" s="27"/>
      <c r="D95" s="6"/>
      <c r="E95" s="7"/>
      <c r="F95" s="7"/>
      <c r="G95" s="31"/>
      <c r="H95" s="43"/>
    </row>
    <row r="96" spans="1:8" s="11" customFormat="1" ht="15" hidden="1" customHeight="1" outlineLevel="3" thickBot="1" x14ac:dyDescent="0.25">
      <c r="A96" s="2"/>
      <c r="B96" s="1"/>
      <c r="C96" s="27"/>
      <c r="D96" s="6"/>
      <c r="E96" s="7"/>
      <c r="F96" s="7"/>
      <c r="G96" s="31"/>
      <c r="H96" s="43"/>
    </row>
    <row r="97" spans="1:8" s="11" customFormat="1" ht="15" hidden="1" customHeight="1" outlineLevel="3" thickBot="1" x14ac:dyDescent="0.25">
      <c r="A97" s="2"/>
      <c r="B97" s="1"/>
      <c r="C97" s="27"/>
      <c r="D97" s="6"/>
      <c r="E97" s="7"/>
      <c r="F97" s="7"/>
      <c r="G97" s="31"/>
      <c r="H97" s="43"/>
    </row>
    <row r="98" spans="1:8" s="11" customFormat="1" ht="15" hidden="1" customHeight="1" outlineLevel="3" thickBot="1" x14ac:dyDescent="0.25">
      <c r="A98" s="2"/>
      <c r="B98" s="1"/>
      <c r="C98" s="27"/>
      <c r="D98" s="6"/>
      <c r="E98" s="7"/>
      <c r="F98" s="7"/>
      <c r="G98" s="31"/>
      <c r="H98" s="43"/>
    </row>
    <row r="99" spans="1:8" s="11" customFormat="1" ht="15" hidden="1" customHeight="1" outlineLevel="2" collapsed="1" thickBot="1" x14ac:dyDescent="0.25">
      <c r="A99" s="2">
        <f>A94+0.01</f>
        <v>1.4400000000000004</v>
      </c>
      <c r="B99" s="1"/>
      <c r="C99" s="27"/>
      <c r="D99" s="6"/>
      <c r="E99" s="7"/>
      <c r="F99" s="7"/>
      <c r="G99" s="31"/>
      <c r="H99" s="43"/>
    </row>
    <row r="100" spans="1:8" s="11" customFormat="1" ht="15" hidden="1" customHeight="1" outlineLevel="3" thickBot="1" x14ac:dyDescent="0.25">
      <c r="A100" s="2"/>
      <c r="B100" s="1"/>
      <c r="C100" s="27"/>
      <c r="D100" s="6"/>
      <c r="E100" s="7"/>
      <c r="F100" s="7"/>
      <c r="G100" s="31"/>
      <c r="H100" s="43"/>
    </row>
    <row r="101" spans="1:8" s="11" customFormat="1" ht="15" hidden="1" customHeight="1" outlineLevel="3" thickBot="1" x14ac:dyDescent="0.25">
      <c r="A101" s="2"/>
      <c r="B101" s="1"/>
      <c r="C101" s="27"/>
      <c r="D101" s="6"/>
      <c r="E101" s="7"/>
      <c r="F101" s="7"/>
      <c r="G101" s="31"/>
      <c r="H101" s="43"/>
    </row>
    <row r="102" spans="1:8" s="11" customFormat="1" ht="15" hidden="1" customHeight="1" outlineLevel="3" thickBot="1" x14ac:dyDescent="0.25">
      <c r="A102" s="2"/>
      <c r="B102" s="1"/>
      <c r="C102" s="27"/>
      <c r="D102" s="6"/>
      <c r="E102" s="7"/>
      <c r="F102" s="7"/>
      <c r="G102" s="31"/>
      <c r="H102" s="43"/>
    </row>
    <row r="103" spans="1:8" s="11" customFormat="1" ht="15" hidden="1" customHeight="1" outlineLevel="3" thickBot="1" x14ac:dyDescent="0.25">
      <c r="A103" s="2"/>
      <c r="B103" s="1"/>
      <c r="C103" s="27"/>
      <c r="D103" s="6"/>
      <c r="E103" s="7"/>
      <c r="F103" s="7"/>
      <c r="G103" s="31"/>
      <c r="H103" s="43"/>
    </row>
    <row r="104" spans="1:8" s="11" customFormat="1" ht="15" hidden="1" customHeight="1" outlineLevel="2" collapsed="1" thickBot="1" x14ac:dyDescent="0.25">
      <c r="A104" s="106">
        <f>A99+0.01</f>
        <v>1.4500000000000004</v>
      </c>
      <c r="B104" s="107"/>
      <c r="C104" s="27"/>
      <c r="D104" s="6"/>
      <c r="E104" s="7"/>
      <c r="F104" s="30"/>
      <c r="G104" s="31"/>
      <c r="H104" s="43"/>
    </row>
    <row r="105" spans="1:8" s="11" customFormat="1" ht="15" hidden="1" customHeight="1" outlineLevel="3" thickBot="1" x14ac:dyDescent="0.25">
      <c r="A105" s="2"/>
      <c r="B105" s="1"/>
      <c r="C105" s="27"/>
      <c r="D105" s="6"/>
      <c r="E105" s="7"/>
      <c r="F105" s="7"/>
      <c r="G105" s="31"/>
      <c r="H105" s="43"/>
    </row>
    <row r="106" spans="1:8" s="11" customFormat="1" ht="15" hidden="1" customHeight="1" outlineLevel="3" thickBot="1" x14ac:dyDescent="0.25">
      <c r="A106" s="2"/>
      <c r="B106" s="1"/>
      <c r="C106" s="27"/>
      <c r="D106" s="6"/>
      <c r="E106" s="7"/>
      <c r="F106" s="7"/>
      <c r="G106" s="31"/>
      <c r="H106" s="43"/>
    </row>
    <row r="107" spans="1:8" s="11" customFormat="1" ht="15" hidden="1" customHeight="1" outlineLevel="3" thickBot="1" x14ac:dyDescent="0.25">
      <c r="A107" s="2"/>
      <c r="B107" s="1"/>
      <c r="C107" s="27"/>
      <c r="D107" s="6"/>
      <c r="E107" s="7"/>
      <c r="F107" s="7"/>
      <c r="G107" s="31"/>
      <c r="H107" s="43"/>
    </row>
    <row r="108" spans="1:8" s="11" customFormat="1" ht="15" hidden="1" customHeight="1" outlineLevel="3" thickBot="1" x14ac:dyDescent="0.25">
      <c r="A108" s="2"/>
      <c r="B108" s="1"/>
      <c r="C108" s="27"/>
      <c r="D108" s="6"/>
      <c r="E108" s="7"/>
      <c r="F108" s="7"/>
      <c r="G108" s="31"/>
      <c r="H108" s="43"/>
    </row>
    <row r="109" spans="1:8" s="11" customFormat="1" ht="15" hidden="1" customHeight="1" outlineLevel="1" collapsed="1" thickBot="1" x14ac:dyDescent="0.25">
      <c r="A109" s="2">
        <f>A83+0.1</f>
        <v>1.5000000000000004</v>
      </c>
      <c r="B109" s="1"/>
      <c r="C109" s="28"/>
      <c r="D109" s="5"/>
      <c r="E109" s="9"/>
      <c r="F109" s="10"/>
      <c r="G109" s="37"/>
      <c r="H109" s="36"/>
    </row>
    <row r="110" spans="1:8" s="11" customFormat="1" ht="15" hidden="1" customHeight="1" outlineLevel="2" collapsed="1" thickBot="1" x14ac:dyDescent="0.25">
      <c r="A110" s="106">
        <f>A109+0.01</f>
        <v>1.5100000000000005</v>
      </c>
      <c r="B110" s="107"/>
      <c r="C110" s="27"/>
      <c r="D110" s="6"/>
      <c r="E110" s="7"/>
      <c r="F110" s="7"/>
      <c r="G110" s="31"/>
      <c r="H110" s="43"/>
    </row>
    <row r="111" spans="1:8" s="11" customFormat="1" ht="15" hidden="1" customHeight="1" outlineLevel="3" thickBot="1" x14ac:dyDescent="0.25">
      <c r="A111" s="2"/>
      <c r="B111" s="1"/>
      <c r="C111" s="27"/>
      <c r="D111" s="6"/>
      <c r="E111" s="7"/>
      <c r="F111" s="7"/>
      <c r="G111" s="31"/>
      <c r="H111" s="43"/>
    </row>
    <row r="112" spans="1:8" s="11" customFormat="1" ht="15" hidden="1" customHeight="1" outlineLevel="3" thickBot="1" x14ac:dyDescent="0.25">
      <c r="A112" s="2"/>
      <c r="B112" s="1"/>
      <c r="C112" s="27"/>
      <c r="D112" s="6"/>
      <c r="E112" s="7"/>
      <c r="F112" s="7"/>
      <c r="G112" s="31"/>
      <c r="H112" s="43"/>
    </row>
    <row r="113" spans="1:8" s="11" customFormat="1" ht="15" hidden="1" customHeight="1" outlineLevel="3" thickBot="1" x14ac:dyDescent="0.25">
      <c r="A113" s="2"/>
      <c r="B113" s="1"/>
      <c r="C113" s="27"/>
      <c r="D113" s="6"/>
      <c r="E113" s="7"/>
      <c r="F113" s="7"/>
      <c r="G113" s="31"/>
      <c r="H113" s="43"/>
    </row>
    <row r="114" spans="1:8" s="11" customFormat="1" ht="15" hidden="1" customHeight="1" outlineLevel="3" thickBot="1" x14ac:dyDescent="0.25">
      <c r="A114" s="2"/>
      <c r="B114" s="1"/>
      <c r="C114" s="27"/>
      <c r="D114" s="6"/>
      <c r="E114" s="7"/>
      <c r="F114" s="7"/>
      <c r="G114" s="31"/>
      <c r="H114" s="43"/>
    </row>
    <row r="115" spans="1:8" s="11" customFormat="1" ht="15" hidden="1" customHeight="1" outlineLevel="2" collapsed="1" thickBot="1" x14ac:dyDescent="0.25">
      <c r="A115" s="106">
        <f>A110+0.01</f>
        <v>1.5200000000000005</v>
      </c>
      <c r="B115" s="107"/>
      <c r="C115" s="27"/>
      <c r="D115" s="6"/>
      <c r="E115" s="7"/>
      <c r="F115" s="7"/>
      <c r="G115" s="31"/>
      <c r="H115" s="43"/>
    </row>
    <row r="116" spans="1:8" s="11" customFormat="1" ht="15" hidden="1" customHeight="1" outlineLevel="3" thickBot="1" x14ac:dyDescent="0.25">
      <c r="A116" s="2"/>
      <c r="B116" s="1"/>
      <c r="C116" s="27"/>
      <c r="D116" s="6"/>
      <c r="E116" s="7"/>
      <c r="F116" s="7"/>
      <c r="G116" s="31"/>
      <c r="H116" s="43"/>
    </row>
    <row r="117" spans="1:8" s="11" customFormat="1" ht="15" hidden="1" customHeight="1" outlineLevel="3" thickBot="1" x14ac:dyDescent="0.25">
      <c r="A117" s="2"/>
      <c r="B117" s="1"/>
      <c r="C117" s="27"/>
      <c r="D117" s="6"/>
      <c r="E117" s="7"/>
      <c r="F117" s="7"/>
      <c r="G117" s="31"/>
      <c r="H117" s="43"/>
    </row>
    <row r="118" spans="1:8" s="11" customFormat="1" ht="15" hidden="1" customHeight="1" outlineLevel="3" thickBot="1" x14ac:dyDescent="0.25">
      <c r="A118" s="2"/>
      <c r="B118" s="1"/>
      <c r="C118" s="27"/>
      <c r="D118" s="6"/>
      <c r="E118" s="7"/>
      <c r="F118" s="7"/>
      <c r="G118" s="31"/>
      <c r="H118" s="43"/>
    </row>
    <row r="119" spans="1:8" s="11" customFormat="1" ht="15" hidden="1" customHeight="1" outlineLevel="3" thickBot="1" x14ac:dyDescent="0.25">
      <c r="A119" s="2"/>
      <c r="B119" s="1"/>
      <c r="C119" s="27"/>
      <c r="D119" s="6"/>
      <c r="E119" s="7"/>
      <c r="F119" s="7"/>
      <c r="G119" s="31"/>
      <c r="H119" s="43"/>
    </row>
    <row r="120" spans="1:8" s="11" customFormat="1" ht="15" hidden="1" customHeight="1" outlineLevel="2" collapsed="1" thickBot="1" x14ac:dyDescent="0.25">
      <c r="A120" s="106">
        <f>A115+0.01</f>
        <v>1.5300000000000005</v>
      </c>
      <c r="B120" s="107"/>
      <c r="C120" s="27"/>
      <c r="D120" s="6"/>
      <c r="E120" s="7"/>
      <c r="F120" s="7"/>
      <c r="G120" s="31"/>
      <c r="H120" s="43"/>
    </row>
    <row r="121" spans="1:8" s="11" customFormat="1" ht="15" hidden="1" customHeight="1" outlineLevel="3" thickBot="1" x14ac:dyDescent="0.25">
      <c r="A121" s="2"/>
      <c r="B121" s="1"/>
      <c r="C121" s="27"/>
      <c r="D121" s="6"/>
      <c r="E121" s="7"/>
      <c r="F121" s="7"/>
      <c r="G121" s="31"/>
      <c r="H121" s="43"/>
    </row>
    <row r="122" spans="1:8" s="11" customFormat="1" ht="15" hidden="1" customHeight="1" outlineLevel="3" thickBot="1" x14ac:dyDescent="0.25">
      <c r="A122" s="2"/>
      <c r="B122" s="1"/>
      <c r="C122" s="27"/>
      <c r="D122" s="6"/>
      <c r="E122" s="7"/>
      <c r="F122" s="7"/>
      <c r="G122" s="31"/>
      <c r="H122" s="43"/>
    </row>
    <row r="123" spans="1:8" s="11" customFormat="1" ht="15" hidden="1" customHeight="1" outlineLevel="3" thickBot="1" x14ac:dyDescent="0.25">
      <c r="A123" s="2"/>
      <c r="B123" s="1"/>
      <c r="C123" s="27"/>
      <c r="D123" s="6"/>
      <c r="E123" s="7"/>
      <c r="F123" s="7"/>
      <c r="G123" s="31"/>
      <c r="H123" s="43"/>
    </row>
    <row r="124" spans="1:8" s="11" customFormat="1" ht="15" hidden="1" customHeight="1" outlineLevel="3" thickBot="1" x14ac:dyDescent="0.25">
      <c r="A124" s="2"/>
      <c r="B124" s="1"/>
      <c r="C124" s="27"/>
      <c r="D124" s="6"/>
      <c r="E124" s="7"/>
      <c r="F124" s="7"/>
      <c r="G124" s="31"/>
      <c r="H124" s="43"/>
    </row>
    <row r="125" spans="1:8" s="11" customFormat="1" ht="15" hidden="1" customHeight="1" outlineLevel="2" collapsed="1" thickBot="1" x14ac:dyDescent="0.25">
      <c r="A125" s="2">
        <f>A120+0.01</f>
        <v>1.5400000000000005</v>
      </c>
      <c r="B125" s="1"/>
      <c r="C125" s="27"/>
      <c r="D125" s="6"/>
      <c r="E125" s="7"/>
      <c r="F125" s="7"/>
      <c r="G125" s="31"/>
      <c r="H125" s="43"/>
    </row>
    <row r="126" spans="1:8" s="11" customFormat="1" ht="15" hidden="1" customHeight="1" outlineLevel="3" thickBot="1" x14ac:dyDescent="0.25">
      <c r="A126" s="2"/>
      <c r="B126" s="1"/>
      <c r="C126" s="27"/>
      <c r="D126" s="6"/>
      <c r="E126" s="7"/>
      <c r="F126" s="7"/>
      <c r="G126" s="31"/>
      <c r="H126" s="43"/>
    </row>
    <row r="127" spans="1:8" s="11" customFormat="1" ht="15" hidden="1" customHeight="1" outlineLevel="3" thickBot="1" x14ac:dyDescent="0.25">
      <c r="A127" s="2"/>
      <c r="B127" s="1"/>
      <c r="C127" s="27"/>
      <c r="D127" s="6"/>
      <c r="E127" s="7"/>
      <c r="F127" s="7"/>
      <c r="G127" s="31"/>
      <c r="H127" s="43"/>
    </row>
    <row r="128" spans="1:8" s="11" customFormat="1" ht="15" hidden="1" customHeight="1" outlineLevel="3" thickBot="1" x14ac:dyDescent="0.25">
      <c r="A128" s="2"/>
      <c r="B128" s="1"/>
      <c r="C128" s="27"/>
      <c r="D128" s="6"/>
      <c r="E128" s="7"/>
      <c r="F128" s="7"/>
      <c r="G128" s="31"/>
      <c r="H128" s="43"/>
    </row>
    <row r="129" spans="1:8" s="11" customFormat="1" ht="15" hidden="1" customHeight="1" outlineLevel="3" thickBot="1" x14ac:dyDescent="0.25">
      <c r="A129" s="2"/>
      <c r="B129" s="1"/>
      <c r="C129" s="27"/>
      <c r="D129" s="6"/>
      <c r="E129" s="7"/>
      <c r="F129" s="7"/>
      <c r="G129" s="31"/>
      <c r="H129" s="43"/>
    </row>
    <row r="130" spans="1:8" s="11" customFormat="1" ht="15" hidden="1" customHeight="1" outlineLevel="2" collapsed="1" thickBot="1" x14ac:dyDescent="0.25">
      <c r="A130" s="106">
        <f>A125+0.01</f>
        <v>1.5500000000000005</v>
      </c>
      <c r="B130" s="107"/>
      <c r="C130" s="27"/>
      <c r="D130" s="6"/>
      <c r="E130" s="7"/>
      <c r="F130" s="30"/>
      <c r="G130" s="31"/>
      <c r="H130" s="43"/>
    </row>
    <row r="131" spans="1:8" s="11" customFormat="1" ht="15" hidden="1" customHeight="1" outlineLevel="3" thickBot="1" x14ac:dyDescent="0.25">
      <c r="A131" s="2"/>
      <c r="B131" s="1"/>
      <c r="C131" s="27"/>
      <c r="D131" s="6"/>
      <c r="E131" s="7"/>
      <c r="F131" s="7"/>
      <c r="G131" s="31"/>
      <c r="H131" s="43"/>
    </row>
    <row r="132" spans="1:8" s="11" customFormat="1" ht="15" hidden="1" customHeight="1" outlineLevel="3" thickBot="1" x14ac:dyDescent="0.25">
      <c r="A132" s="2"/>
      <c r="B132" s="1"/>
      <c r="C132" s="27"/>
      <c r="D132" s="6"/>
      <c r="E132" s="7"/>
      <c r="F132" s="7"/>
      <c r="G132" s="31"/>
      <c r="H132" s="43"/>
    </row>
    <row r="133" spans="1:8" s="11" customFormat="1" ht="15" hidden="1" customHeight="1" outlineLevel="3" thickBot="1" x14ac:dyDescent="0.25">
      <c r="A133" s="2"/>
      <c r="B133" s="1"/>
      <c r="C133" s="27"/>
      <c r="D133" s="6"/>
      <c r="E133" s="7"/>
      <c r="F133" s="7"/>
      <c r="G133" s="31"/>
      <c r="H133" s="43"/>
    </row>
    <row r="134" spans="1:8" s="11" customFormat="1" ht="15" hidden="1" customHeight="1" outlineLevel="3" thickBot="1" x14ac:dyDescent="0.25">
      <c r="A134" s="2"/>
      <c r="B134" s="1"/>
      <c r="C134" s="27"/>
      <c r="D134" s="6"/>
      <c r="E134" s="7"/>
      <c r="F134" s="7"/>
      <c r="G134" s="31"/>
      <c r="H134" s="43"/>
    </row>
    <row r="135" spans="1:8" s="11" customFormat="1" ht="15" hidden="1" customHeight="1" outlineLevel="1" collapsed="1" thickBot="1" x14ac:dyDescent="0.25">
      <c r="A135" s="2">
        <f>A109+0.1</f>
        <v>1.6000000000000005</v>
      </c>
      <c r="B135" s="1"/>
      <c r="C135" s="28"/>
      <c r="D135" s="5"/>
      <c r="E135" s="9"/>
      <c r="F135" s="10"/>
      <c r="G135" s="37"/>
      <c r="H135" s="36"/>
    </row>
    <row r="136" spans="1:8" s="11" customFormat="1" ht="15" hidden="1" customHeight="1" outlineLevel="2" collapsed="1" thickBot="1" x14ac:dyDescent="0.25">
      <c r="A136" s="106">
        <f>A135+0.01</f>
        <v>1.6100000000000005</v>
      </c>
      <c r="B136" s="107"/>
      <c r="C136" s="27"/>
      <c r="D136" s="6"/>
      <c r="E136" s="7"/>
      <c r="F136" s="7"/>
      <c r="G136" s="31"/>
      <c r="H136" s="43"/>
    </row>
    <row r="137" spans="1:8" s="11" customFormat="1" ht="15" hidden="1" customHeight="1" outlineLevel="3" thickBot="1" x14ac:dyDescent="0.25">
      <c r="A137" s="2"/>
      <c r="B137" s="1"/>
      <c r="C137" s="27"/>
      <c r="D137" s="6"/>
      <c r="E137" s="7"/>
      <c r="F137" s="7"/>
      <c r="G137" s="31"/>
      <c r="H137" s="43"/>
    </row>
    <row r="138" spans="1:8" s="11" customFormat="1" ht="15" hidden="1" customHeight="1" outlineLevel="3" thickBot="1" x14ac:dyDescent="0.25">
      <c r="A138" s="2"/>
      <c r="B138" s="1"/>
      <c r="C138" s="27"/>
      <c r="D138" s="6"/>
      <c r="E138" s="7"/>
      <c r="F138" s="7"/>
      <c r="G138" s="31"/>
      <c r="H138" s="43"/>
    </row>
    <row r="139" spans="1:8" s="11" customFormat="1" ht="15" hidden="1" customHeight="1" outlineLevel="3" thickBot="1" x14ac:dyDescent="0.25">
      <c r="A139" s="2"/>
      <c r="B139" s="1"/>
      <c r="C139" s="27"/>
      <c r="D139" s="6"/>
      <c r="E139" s="7"/>
      <c r="F139" s="7"/>
      <c r="G139" s="31"/>
      <c r="H139" s="43"/>
    </row>
    <row r="140" spans="1:8" s="11" customFormat="1" ht="15" hidden="1" customHeight="1" outlineLevel="3" thickBot="1" x14ac:dyDescent="0.25">
      <c r="A140" s="2"/>
      <c r="B140" s="1"/>
      <c r="C140" s="27"/>
      <c r="D140" s="6"/>
      <c r="E140" s="7"/>
      <c r="F140" s="7"/>
      <c r="G140" s="31"/>
      <c r="H140" s="43"/>
    </row>
    <row r="141" spans="1:8" s="11" customFormat="1" ht="15" hidden="1" customHeight="1" outlineLevel="2" collapsed="1" thickBot="1" x14ac:dyDescent="0.25">
      <c r="A141" s="106">
        <f>A136+0.01</f>
        <v>1.6200000000000006</v>
      </c>
      <c r="B141" s="107"/>
      <c r="C141" s="27"/>
      <c r="D141" s="6"/>
      <c r="E141" s="7"/>
      <c r="F141" s="7"/>
      <c r="G141" s="31"/>
      <c r="H141" s="43"/>
    </row>
    <row r="142" spans="1:8" s="11" customFormat="1" ht="15" hidden="1" customHeight="1" outlineLevel="3" thickBot="1" x14ac:dyDescent="0.25">
      <c r="A142" s="2"/>
      <c r="B142" s="1"/>
      <c r="C142" s="27"/>
      <c r="D142" s="6"/>
      <c r="E142" s="7"/>
      <c r="F142" s="7"/>
      <c r="G142" s="31"/>
      <c r="H142" s="43"/>
    </row>
    <row r="143" spans="1:8" s="11" customFormat="1" ht="15" hidden="1" customHeight="1" outlineLevel="3" thickBot="1" x14ac:dyDescent="0.25">
      <c r="A143" s="2"/>
      <c r="B143" s="1"/>
      <c r="C143" s="27"/>
      <c r="D143" s="6"/>
      <c r="E143" s="7"/>
      <c r="F143" s="7"/>
      <c r="G143" s="31"/>
      <c r="H143" s="43"/>
    </row>
    <row r="144" spans="1:8" s="11" customFormat="1" ht="15" hidden="1" customHeight="1" outlineLevel="3" thickBot="1" x14ac:dyDescent="0.25">
      <c r="A144" s="2"/>
      <c r="B144" s="1"/>
      <c r="C144" s="27"/>
      <c r="D144" s="6"/>
      <c r="E144" s="7"/>
      <c r="F144" s="7"/>
      <c r="G144" s="31"/>
      <c r="H144" s="43"/>
    </row>
    <row r="145" spans="1:8" s="11" customFormat="1" ht="15" hidden="1" customHeight="1" outlineLevel="3" thickBot="1" x14ac:dyDescent="0.25">
      <c r="A145" s="2"/>
      <c r="B145" s="1"/>
      <c r="C145" s="27"/>
      <c r="D145" s="6"/>
      <c r="E145" s="7"/>
      <c r="F145" s="7"/>
      <c r="G145" s="31"/>
      <c r="H145" s="43"/>
    </row>
    <row r="146" spans="1:8" s="11" customFormat="1" ht="15" hidden="1" customHeight="1" outlineLevel="2" collapsed="1" thickBot="1" x14ac:dyDescent="0.25">
      <c r="A146" s="106">
        <f>A141+0.01</f>
        <v>1.6300000000000006</v>
      </c>
      <c r="B146" s="107"/>
      <c r="C146" s="27"/>
      <c r="D146" s="6"/>
      <c r="E146" s="7"/>
      <c r="F146" s="7"/>
      <c r="G146" s="31"/>
      <c r="H146" s="43"/>
    </row>
    <row r="147" spans="1:8" s="11" customFormat="1" ht="15" hidden="1" customHeight="1" outlineLevel="3" thickBot="1" x14ac:dyDescent="0.25">
      <c r="A147" s="2"/>
      <c r="B147" s="1"/>
      <c r="C147" s="27"/>
      <c r="D147" s="6"/>
      <c r="E147" s="7"/>
      <c r="F147" s="7"/>
      <c r="G147" s="31"/>
      <c r="H147" s="43"/>
    </row>
    <row r="148" spans="1:8" s="11" customFormat="1" ht="15" hidden="1" customHeight="1" outlineLevel="3" thickBot="1" x14ac:dyDescent="0.25">
      <c r="A148" s="2"/>
      <c r="B148" s="1"/>
      <c r="C148" s="27"/>
      <c r="D148" s="6"/>
      <c r="E148" s="7"/>
      <c r="F148" s="7"/>
      <c r="G148" s="31"/>
      <c r="H148" s="43"/>
    </row>
    <row r="149" spans="1:8" s="11" customFormat="1" ht="15" hidden="1" customHeight="1" outlineLevel="3" thickBot="1" x14ac:dyDescent="0.25">
      <c r="A149" s="2"/>
      <c r="B149" s="1"/>
      <c r="C149" s="27"/>
      <c r="D149" s="6"/>
      <c r="E149" s="7"/>
      <c r="F149" s="7"/>
      <c r="G149" s="31"/>
      <c r="H149" s="43"/>
    </row>
    <row r="150" spans="1:8" s="11" customFormat="1" ht="15" hidden="1" customHeight="1" outlineLevel="3" thickBot="1" x14ac:dyDescent="0.25">
      <c r="A150" s="2"/>
      <c r="B150" s="1"/>
      <c r="C150" s="27"/>
      <c r="D150" s="6"/>
      <c r="E150" s="7"/>
      <c r="F150" s="7"/>
      <c r="G150" s="31"/>
      <c r="H150" s="43"/>
    </row>
    <row r="151" spans="1:8" s="11" customFormat="1" ht="15" hidden="1" customHeight="1" outlineLevel="2" collapsed="1" thickBot="1" x14ac:dyDescent="0.25">
      <c r="A151" s="2">
        <f>A146+0.01</f>
        <v>1.6400000000000006</v>
      </c>
      <c r="B151" s="1"/>
      <c r="C151" s="27"/>
      <c r="D151" s="6"/>
      <c r="E151" s="7"/>
      <c r="F151" s="7"/>
      <c r="G151" s="31"/>
      <c r="H151" s="43"/>
    </row>
    <row r="152" spans="1:8" s="11" customFormat="1" ht="15" hidden="1" customHeight="1" outlineLevel="3" thickBot="1" x14ac:dyDescent="0.25">
      <c r="A152" s="2"/>
      <c r="B152" s="1"/>
      <c r="C152" s="27"/>
      <c r="D152" s="6"/>
      <c r="E152" s="7"/>
      <c r="F152" s="7"/>
      <c r="G152" s="31"/>
      <c r="H152" s="43"/>
    </row>
    <row r="153" spans="1:8" s="11" customFormat="1" ht="15" hidden="1" customHeight="1" outlineLevel="3" thickBot="1" x14ac:dyDescent="0.25">
      <c r="A153" s="2"/>
      <c r="B153" s="1"/>
      <c r="C153" s="27"/>
      <c r="D153" s="6"/>
      <c r="E153" s="7"/>
      <c r="F153" s="7"/>
      <c r="G153" s="31"/>
      <c r="H153" s="43"/>
    </row>
    <row r="154" spans="1:8" s="11" customFormat="1" ht="15" hidden="1" customHeight="1" outlineLevel="3" thickBot="1" x14ac:dyDescent="0.25">
      <c r="A154" s="2"/>
      <c r="B154" s="1"/>
      <c r="C154" s="27"/>
      <c r="D154" s="6"/>
      <c r="E154" s="7"/>
      <c r="F154" s="7"/>
      <c r="G154" s="31"/>
      <c r="H154" s="43"/>
    </row>
    <row r="155" spans="1:8" s="11" customFormat="1" ht="15" hidden="1" customHeight="1" outlineLevel="3" thickBot="1" x14ac:dyDescent="0.25">
      <c r="A155" s="2"/>
      <c r="B155" s="1"/>
      <c r="C155" s="27"/>
      <c r="D155" s="6"/>
      <c r="E155" s="7"/>
      <c r="F155" s="7"/>
      <c r="G155" s="31"/>
      <c r="H155" s="43"/>
    </row>
    <row r="156" spans="1:8" s="11" customFormat="1" ht="15" hidden="1" customHeight="1" outlineLevel="2" collapsed="1" thickBot="1" x14ac:dyDescent="0.25">
      <c r="A156" s="106">
        <f>A151+0.01</f>
        <v>1.6500000000000006</v>
      </c>
      <c r="B156" s="107"/>
      <c r="C156" s="27"/>
      <c r="D156" s="6"/>
      <c r="E156" s="7"/>
      <c r="F156" s="30"/>
      <c r="G156" s="31"/>
      <c r="H156" s="43"/>
    </row>
    <row r="157" spans="1:8" s="11" customFormat="1" ht="15" hidden="1" customHeight="1" outlineLevel="3" thickBot="1" x14ac:dyDescent="0.25">
      <c r="A157" s="2"/>
      <c r="B157" s="1"/>
      <c r="C157" s="27"/>
      <c r="D157" s="6"/>
      <c r="E157" s="7"/>
      <c r="F157" s="7"/>
      <c r="G157" s="31"/>
      <c r="H157" s="43"/>
    </row>
    <row r="158" spans="1:8" s="11" customFormat="1" ht="15" hidden="1" customHeight="1" outlineLevel="3" thickBot="1" x14ac:dyDescent="0.25">
      <c r="A158" s="2"/>
      <c r="B158" s="1"/>
      <c r="C158" s="27"/>
      <c r="D158" s="6"/>
      <c r="E158" s="7"/>
      <c r="F158" s="7"/>
      <c r="G158" s="31"/>
      <c r="H158" s="43"/>
    </row>
    <row r="159" spans="1:8" s="11" customFormat="1" ht="15" hidden="1" customHeight="1" outlineLevel="3" thickBot="1" x14ac:dyDescent="0.25">
      <c r="A159" s="2"/>
      <c r="B159" s="1"/>
      <c r="C159" s="27"/>
      <c r="D159" s="6"/>
      <c r="E159" s="7"/>
      <c r="F159" s="7"/>
      <c r="G159" s="31"/>
      <c r="H159" s="43"/>
    </row>
    <row r="160" spans="1:8" s="11" customFormat="1" ht="15" hidden="1" customHeight="1" outlineLevel="3" thickBot="1" x14ac:dyDescent="0.25">
      <c r="A160" s="2"/>
      <c r="B160" s="1"/>
      <c r="C160" s="27"/>
      <c r="D160" s="6"/>
      <c r="E160" s="7"/>
      <c r="F160" s="7"/>
      <c r="G160" s="31"/>
      <c r="H160" s="43"/>
    </row>
    <row r="161" spans="1:8" s="11" customFormat="1" ht="15" hidden="1" customHeight="1" outlineLevel="1" collapsed="1" thickBot="1" x14ac:dyDescent="0.25">
      <c r="A161" s="2">
        <f>A135+0.1</f>
        <v>1.7000000000000006</v>
      </c>
      <c r="B161" s="1"/>
      <c r="C161" s="28"/>
      <c r="D161" s="5"/>
      <c r="E161" s="9"/>
      <c r="F161" s="10"/>
      <c r="G161" s="37"/>
      <c r="H161" s="36"/>
    </row>
    <row r="162" spans="1:8" s="11" customFormat="1" ht="15" hidden="1" customHeight="1" outlineLevel="2" collapsed="1" thickBot="1" x14ac:dyDescent="0.25">
      <c r="A162" s="106">
        <f>A161+0.01</f>
        <v>1.7100000000000006</v>
      </c>
      <c r="B162" s="107"/>
      <c r="C162" s="27"/>
      <c r="D162" s="6"/>
      <c r="E162" s="7"/>
      <c r="F162" s="7"/>
      <c r="G162" s="31"/>
      <c r="H162" s="43"/>
    </row>
    <row r="163" spans="1:8" s="11" customFormat="1" ht="15" hidden="1" customHeight="1" outlineLevel="3" thickBot="1" x14ac:dyDescent="0.25">
      <c r="A163" s="2"/>
      <c r="B163" s="1"/>
      <c r="C163" s="27"/>
      <c r="D163" s="6"/>
      <c r="E163" s="7"/>
      <c r="F163" s="7"/>
      <c r="G163" s="31"/>
      <c r="H163" s="43"/>
    </row>
    <row r="164" spans="1:8" s="11" customFormat="1" ht="15" hidden="1" customHeight="1" outlineLevel="3" thickBot="1" x14ac:dyDescent="0.25">
      <c r="A164" s="2"/>
      <c r="B164" s="1"/>
      <c r="C164" s="27"/>
      <c r="D164" s="6"/>
      <c r="E164" s="7"/>
      <c r="F164" s="7"/>
      <c r="G164" s="31"/>
      <c r="H164" s="43"/>
    </row>
    <row r="165" spans="1:8" s="11" customFormat="1" ht="15" hidden="1" customHeight="1" outlineLevel="3" thickBot="1" x14ac:dyDescent="0.25">
      <c r="A165" s="2"/>
      <c r="B165" s="1"/>
      <c r="C165" s="27"/>
      <c r="D165" s="6"/>
      <c r="E165" s="7"/>
      <c r="F165" s="7"/>
      <c r="G165" s="31"/>
      <c r="H165" s="43"/>
    </row>
    <row r="166" spans="1:8" s="11" customFormat="1" ht="15" hidden="1" customHeight="1" outlineLevel="3" thickBot="1" x14ac:dyDescent="0.25">
      <c r="A166" s="2"/>
      <c r="B166" s="1"/>
      <c r="C166" s="27"/>
      <c r="D166" s="6"/>
      <c r="E166" s="7"/>
      <c r="F166" s="7"/>
      <c r="G166" s="31"/>
      <c r="H166" s="43"/>
    </row>
    <row r="167" spans="1:8" s="11" customFormat="1" ht="15" hidden="1" customHeight="1" outlineLevel="2" collapsed="1" thickBot="1" x14ac:dyDescent="0.25">
      <c r="A167" s="106">
        <f>A162+0.01</f>
        <v>1.7200000000000006</v>
      </c>
      <c r="B167" s="107"/>
      <c r="C167" s="27"/>
      <c r="D167" s="6"/>
      <c r="E167" s="7"/>
      <c r="F167" s="7"/>
      <c r="G167" s="31"/>
      <c r="H167" s="43"/>
    </row>
    <row r="168" spans="1:8" s="11" customFormat="1" ht="15" hidden="1" customHeight="1" outlineLevel="3" thickBot="1" x14ac:dyDescent="0.25">
      <c r="A168" s="2"/>
      <c r="B168" s="1"/>
      <c r="C168" s="27"/>
      <c r="D168" s="6"/>
      <c r="E168" s="7"/>
      <c r="F168" s="7"/>
      <c r="G168" s="31"/>
      <c r="H168" s="43"/>
    </row>
    <row r="169" spans="1:8" s="11" customFormat="1" ht="15" hidden="1" customHeight="1" outlineLevel="3" thickBot="1" x14ac:dyDescent="0.25">
      <c r="A169" s="2"/>
      <c r="B169" s="1"/>
      <c r="C169" s="27"/>
      <c r="D169" s="6"/>
      <c r="E169" s="7"/>
      <c r="F169" s="7"/>
      <c r="G169" s="31"/>
      <c r="H169" s="43"/>
    </row>
    <row r="170" spans="1:8" s="11" customFormat="1" ht="15" hidden="1" customHeight="1" outlineLevel="3" thickBot="1" x14ac:dyDescent="0.25">
      <c r="A170" s="2"/>
      <c r="B170" s="1"/>
      <c r="C170" s="27"/>
      <c r="D170" s="6"/>
      <c r="E170" s="7"/>
      <c r="F170" s="7"/>
      <c r="G170" s="31"/>
      <c r="H170" s="43"/>
    </row>
    <row r="171" spans="1:8" s="11" customFormat="1" ht="15" hidden="1" customHeight="1" outlineLevel="3" thickBot="1" x14ac:dyDescent="0.25">
      <c r="A171" s="2"/>
      <c r="B171" s="1"/>
      <c r="C171" s="27"/>
      <c r="D171" s="6"/>
      <c r="E171" s="7"/>
      <c r="F171" s="7"/>
      <c r="G171" s="31"/>
      <c r="H171" s="43"/>
    </row>
    <row r="172" spans="1:8" s="11" customFormat="1" ht="15" hidden="1" customHeight="1" outlineLevel="2" collapsed="1" thickBot="1" x14ac:dyDescent="0.25">
      <c r="A172" s="106">
        <f>A167+0.01</f>
        <v>1.7300000000000006</v>
      </c>
      <c r="B172" s="107"/>
      <c r="C172" s="27"/>
      <c r="D172" s="6"/>
      <c r="E172" s="7"/>
      <c r="F172" s="7"/>
      <c r="G172" s="31"/>
      <c r="H172" s="43"/>
    </row>
    <row r="173" spans="1:8" s="11" customFormat="1" ht="15" hidden="1" customHeight="1" outlineLevel="3" thickBot="1" x14ac:dyDescent="0.25">
      <c r="A173" s="2"/>
      <c r="B173" s="1"/>
      <c r="C173" s="27"/>
      <c r="D173" s="6"/>
      <c r="E173" s="7"/>
      <c r="F173" s="7"/>
      <c r="G173" s="31"/>
      <c r="H173" s="43"/>
    </row>
    <row r="174" spans="1:8" s="11" customFormat="1" ht="15" hidden="1" customHeight="1" outlineLevel="3" thickBot="1" x14ac:dyDescent="0.25">
      <c r="A174" s="2"/>
      <c r="B174" s="1"/>
      <c r="C174" s="27"/>
      <c r="D174" s="6"/>
      <c r="E174" s="7"/>
      <c r="F174" s="7"/>
      <c r="G174" s="31"/>
      <c r="H174" s="43"/>
    </row>
    <row r="175" spans="1:8" s="11" customFormat="1" ht="15" hidden="1" customHeight="1" outlineLevel="3" thickBot="1" x14ac:dyDescent="0.25">
      <c r="A175" s="2"/>
      <c r="B175" s="1"/>
      <c r="C175" s="27"/>
      <c r="D175" s="6"/>
      <c r="E175" s="7"/>
      <c r="F175" s="7"/>
      <c r="G175" s="31"/>
      <c r="H175" s="43"/>
    </row>
    <row r="176" spans="1:8" s="11" customFormat="1" ht="15" hidden="1" customHeight="1" outlineLevel="3" thickBot="1" x14ac:dyDescent="0.25">
      <c r="A176" s="2"/>
      <c r="B176" s="1"/>
      <c r="C176" s="27"/>
      <c r="D176" s="6"/>
      <c r="E176" s="7"/>
      <c r="F176" s="7"/>
      <c r="G176" s="31"/>
      <c r="H176" s="43"/>
    </row>
    <row r="177" spans="1:8" s="11" customFormat="1" ht="15" hidden="1" customHeight="1" outlineLevel="2" collapsed="1" thickBot="1" x14ac:dyDescent="0.25">
      <c r="A177" s="2">
        <f>A172+0.01</f>
        <v>1.7400000000000007</v>
      </c>
      <c r="B177" s="1"/>
      <c r="C177" s="27"/>
      <c r="D177" s="6"/>
      <c r="E177" s="7"/>
      <c r="F177" s="7"/>
      <c r="G177" s="31"/>
      <c r="H177" s="43"/>
    </row>
    <row r="178" spans="1:8" s="11" customFormat="1" ht="15" hidden="1" customHeight="1" outlineLevel="3" thickBot="1" x14ac:dyDescent="0.25">
      <c r="A178" s="2"/>
      <c r="B178" s="1"/>
      <c r="C178" s="27"/>
      <c r="D178" s="6"/>
      <c r="E178" s="7"/>
      <c r="F178" s="7"/>
      <c r="G178" s="31"/>
      <c r="H178" s="43"/>
    </row>
    <row r="179" spans="1:8" s="11" customFormat="1" ht="15" hidden="1" customHeight="1" outlineLevel="3" thickBot="1" x14ac:dyDescent="0.25">
      <c r="A179" s="2"/>
      <c r="B179" s="1"/>
      <c r="C179" s="27"/>
      <c r="D179" s="6"/>
      <c r="E179" s="7"/>
      <c r="F179" s="7"/>
      <c r="G179" s="31"/>
      <c r="H179" s="43"/>
    </row>
    <row r="180" spans="1:8" s="11" customFormat="1" ht="15" hidden="1" customHeight="1" outlineLevel="3" thickBot="1" x14ac:dyDescent="0.25">
      <c r="A180" s="2"/>
      <c r="B180" s="1"/>
      <c r="C180" s="27"/>
      <c r="D180" s="6"/>
      <c r="E180" s="7"/>
      <c r="F180" s="7"/>
      <c r="G180" s="31"/>
      <c r="H180" s="43"/>
    </row>
    <row r="181" spans="1:8" s="11" customFormat="1" ht="15" hidden="1" customHeight="1" outlineLevel="3" thickBot="1" x14ac:dyDescent="0.25">
      <c r="A181" s="2"/>
      <c r="B181" s="1"/>
      <c r="C181" s="27"/>
      <c r="D181" s="6"/>
      <c r="E181" s="7"/>
      <c r="F181" s="7"/>
      <c r="G181" s="31"/>
      <c r="H181" s="43"/>
    </row>
    <row r="182" spans="1:8" s="11" customFormat="1" ht="15" hidden="1" customHeight="1" outlineLevel="2" collapsed="1" thickBot="1" x14ac:dyDescent="0.25">
      <c r="A182" s="106">
        <f>A177+0.01</f>
        <v>1.7500000000000007</v>
      </c>
      <c r="B182" s="107"/>
      <c r="C182" s="27"/>
      <c r="D182" s="6"/>
      <c r="E182" s="7"/>
      <c r="F182" s="30"/>
      <c r="G182" s="31"/>
      <c r="H182" s="43"/>
    </row>
    <row r="183" spans="1:8" s="11" customFormat="1" ht="15" hidden="1" customHeight="1" outlineLevel="3" thickBot="1" x14ac:dyDescent="0.25">
      <c r="A183" s="2"/>
      <c r="B183" s="1"/>
      <c r="C183" s="27"/>
      <c r="D183" s="6"/>
      <c r="E183" s="7"/>
      <c r="F183" s="7"/>
      <c r="G183" s="31"/>
      <c r="H183" s="43"/>
    </row>
    <row r="184" spans="1:8" s="11" customFormat="1" ht="15" hidden="1" customHeight="1" outlineLevel="3" thickBot="1" x14ac:dyDescent="0.25">
      <c r="A184" s="2"/>
      <c r="B184" s="1"/>
      <c r="C184" s="27"/>
      <c r="D184" s="6"/>
      <c r="E184" s="7"/>
      <c r="F184" s="7"/>
      <c r="G184" s="31"/>
      <c r="H184" s="43"/>
    </row>
    <row r="185" spans="1:8" s="11" customFormat="1" ht="15" hidden="1" customHeight="1" outlineLevel="3" thickBot="1" x14ac:dyDescent="0.25">
      <c r="A185" s="2"/>
      <c r="B185" s="1"/>
      <c r="C185" s="27"/>
      <c r="D185" s="6"/>
      <c r="E185" s="7"/>
      <c r="F185" s="7"/>
      <c r="G185" s="31"/>
      <c r="H185" s="43"/>
    </row>
    <row r="186" spans="1:8" s="11" customFormat="1" ht="15" hidden="1" customHeight="1" outlineLevel="3" thickBot="1" x14ac:dyDescent="0.25">
      <c r="A186" s="2"/>
      <c r="B186" s="1"/>
      <c r="C186" s="27"/>
      <c r="D186" s="6"/>
      <c r="E186" s="7"/>
      <c r="F186" s="7"/>
      <c r="G186" s="31"/>
      <c r="H186" s="43"/>
    </row>
    <row r="187" spans="1:8" s="11" customFormat="1" ht="15" hidden="1" customHeight="1" outlineLevel="1" collapsed="1" thickBot="1" x14ac:dyDescent="0.25">
      <c r="A187" s="2">
        <f>A161+0.1</f>
        <v>1.8000000000000007</v>
      </c>
      <c r="B187" s="1"/>
      <c r="C187" s="28"/>
      <c r="D187" s="5"/>
      <c r="E187" s="9"/>
      <c r="F187" s="10"/>
      <c r="G187" s="37"/>
      <c r="H187" s="36"/>
    </row>
    <row r="188" spans="1:8" s="11" customFormat="1" ht="15" hidden="1" customHeight="1" outlineLevel="2" collapsed="1" thickBot="1" x14ac:dyDescent="0.25">
      <c r="A188" s="106">
        <f>A187+0.01</f>
        <v>1.8100000000000007</v>
      </c>
      <c r="B188" s="107"/>
      <c r="C188" s="27"/>
      <c r="D188" s="6"/>
      <c r="E188" s="7"/>
      <c r="F188" s="7"/>
      <c r="G188" s="31"/>
      <c r="H188" s="43"/>
    </row>
    <row r="189" spans="1:8" s="11" customFormat="1" ht="15" hidden="1" customHeight="1" outlineLevel="3" thickBot="1" x14ac:dyDescent="0.25">
      <c r="A189" s="2"/>
      <c r="B189" s="1"/>
      <c r="C189" s="27"/>
      <c r="D189" s="6"/>
      <c r="E189" s="7"/>
      <c r="F189" s="7"/>
      <c r="G189" s="31"/>
      <c r="H189" s="43"/>
    </row>
    <row r="190" spans="1:8" s="11" customFormat="1" ht="15" hidden="1" customHeight="1" outlineLevel="3" thickBot="1" x14ac:dyDescent="0.25">
      <c r="A190" s="2"/>
      <c r="B190" s="1"/>
      <c r="C190" s="27"/>
      <c r="D190" s="6"/>
      <c r="E190" s="7"/>
      <c r="F190" s="7"/>
      <c r="G190" s="31"/>
      <c r="H190" s="43"/>
    </row>
    <row r="191" spans="1:8" s="11" customFormat="1" ht="15" hidden="1" customHeight="1" outlineLevel="3" thickBot="1" x14ac:dyDescent="0.25">
      <c r="A191" s="2"/>
      <c r="B191" s="1"/>
      <c r="C191" s="27"/>
      <c r="D191" s="6"/>
      <c r="E191" s="7"/>
      <c r="F191" s="7"/>
      <c r="G191" s="31"/>
      <c r="H191" s="43"/>
    </row>
    <row r="192" spans="1:8" s="11" customFormat="1" ht="15" hidden="1" customHeight="1" outlineLevel="3" thickBot="1" x14ac:dyDescent="0.25">
      <c r="A192" s="2"/>
      <c r="B192" s="1"/>
      <c r="C192" s="27"/>
      <c r="D192" s="6"/>
      <c r="E192" s="7"/>
      <c r="F192" s="7"/>
      <c r="G192" s="31"/>
      <c r="H192" s="43"/>
    </row>
    <row r="193" spans="1:8" s="11" customFormat="1" ht="15" hidden="1" customHeight="1" outlineLevel="2" collapsed="1" thickBot="1" x14ac:dyDescent="0.25">
      <c r="A193" s="106">
        <f>A188+0.01</f>
        <v>1.8200000000000007</v>
      </c>
      <c r="B193" s="107"/>
      <c r="C193" s="27"/>
      <c r="D193" s="6"/>
      <c r="E193" s="7"/>
      <c r="F193" s="7"/>
      <c r="G193" s="31"/>
      <c r="H193" s="43"/>
    </row>
    <row r="194" spans="1:8" s="11" customFormat="1" ht="15" hidden="1" customHeight="1" outlineLevel="3" thickBot="1" x14ac:dyDescent="0.25">
      <c r="A194" s="2"/>
      <c r="B194" s="1"/>
      <c r="C194" s="27"/>
      <c r="D194" s="6"/>
      <c r="E194" s="7"/>
      <c r="F194" s="7"/>
      <c r="G194" s="31"/>
      <c r="H194" s="43"/>
    </row>
    <row r="195" spans="1:8" s="11" customFormat="1" ht="15" hidden="1" customHeight="1" outlineLevel="3" thickBot="1" x14ac:dyDescent="0.25">
      <c r="A195" s="2"/>
      <c r="B195" s="1"/>
      <c r="C195" s="27"/>
      <c r="D195" s="6"/>
      <c r="E195" s="7"/>
      <c r="F195" s="7"/>
      <c r="G195" s="31"/>
      <c r="H195" s="43"/>
    </row>
    <row r="196" spans="1:8" s="11" customFormat="1" ht="15" hidden="1" customHeight="1" outlineLevel="3" thickBot="1" x14ac:dyDescent="0.25">
      <c r="A196" s="2"/>
      <c r="B196" s="1"/>
      <c r="C196" s="27"/>
      <c r="D196" s="6"/>
      <c r="E196" s="7"/>
      <c r="F196" s="7"/>
      <c r="G196" s="31"/>
      <c r="H196" s="43"/>
    </row>
    <row r="197" spans="1:8" s="11" customFormat="1" ht="15" hidden="1" customHeight="1" outlineLevel="3" thickBot="1" x14ac:dyDescent="0.25">
      <c r="A197" s="2"/>
      <c r="B197" s="1"/>
      <c r="C197" s="27"/>
      <c r="D197" s="6"/>
      <c r="E197" s="7"/>
      <c r="F197" s="7"/>
      <c r="G197" s="31"/>
      <c r="H197" s="43"/>
    </row>
    <row r="198" spans="1:8" s="11" customFormat="1" ht="15" hidden="1" customHeight="1" outlineLevel="2" collapsed="1" thickBot="1" x14ac:dyDescent="0.25">
      <c r="A198" s="106">
        <f>A193+0.01</f>
        <v>1.8300000000000007</v>
      </c>
      <c r="B198" s="107"/>
      <c r="C198" s="27"/>
      <c r="D198" s="6"/>
      <c r="E198" s="7"/>
      <c r="F198" s="7"/>
      <c r="G198" s="31"/>
      <c r="H198" s="43"/>
    </row>
    <row r="199" spans="1:8" s="11" customFormat="1" ht="15" hidden="1" customHeight="1" outlineLevel="3" thickBot="1" x14ac:dyDescent="0.25">
      <c r="A199" s="2"/>
      <c r="B199" s="1"/>
      <c r="C199" s="27"/>
      <c r="D199" s="6"/>
      <c r="E199" s="7"/>
      <c r="F199" s="7"/>
      <c r="G199" s="31"/>
      <c r="H199" s="43"/>
    </row>
    <row r="200" spans="1:8" s="11" customFormat="1" ht="15" hidden="1" customHeight="1" outlineLevel="3" thickBot="1" x14ac:dyDescent="0.25">
      <c r="A200" s="2"/>
      <c r="B200" s="1"/>
      <c r="C200" s="27"/>
      <c r="D200" s="6"/>
      <c r="E200" s="7"/>
      <c r="F200" s="7"/>
      <c r="G200" s="31"/>
      <c r="H200" s="43"/>
    </row>
    <row r="201" spans="1:8" s="11" customFormat="1" ht="15" hidden="1" customHeight="1" outlineLevel="3" thickBot="1" x14ac:dyDescent="0.25">
      <c r="A201" s="2"/>
      <c r="B201" s="1"/>
      <c r="C201" s="27"/>
      <c r="D201" s="6"/>
      <c r="E201" s="7"/>
      <c r="F201" s="7"/>
      <c r="G201" s="31"/>
      <c r="H201" s="43"/>
    </row>
    <row r="202" spans="1:8" s="11" customFormat="1" ht="15" hidden="1" customHeight="1" outlineLevel="3" thickBot="1" x14ac:dyDescent="0.25">
      <c r="A202" s="2"/>
      <c r="B202" s="1"/>
      <c r="C202" s="27"/>
      <c r="D202" s="6"/>
      <c r="E202" s="7"/>
      <c r="F202" s="7"/>
      <c r="G202" s="31"/>
      <c r="H202" s="43"/>
    </row>
    <row r="203" spans="1:8" s="11" customFormat="1" ht="15" hidden="1" customHeight="1" outlineLevel="2" collapsed="1" thickBot="1" x14ac:dyDescent="0.25">
      <c r="A203" s="2">
        <f>A198+0.01</f>
        <v>1.8400000000000007</v>
      </c>
      <c r="B203" s="1"/>
      <c r="C203" s="27"/>
      <c r="D203" s="6"/>
      <c r="E203" s="7"/>
      <c r="F203" s="7"/>
      <c r="G203" s="31"/>
      <c r="H203" s="43"/>
    </row>
    <row r="204" spans="1:8" s="11" customFormat="1" ht="15" hidden="1" customHeight="1" outlineLevel="3" thickBot="1" x14ac:dyDescent="0.25">
      <c r="A204" s="2"/>
      <c r="B204" s="1"/>
      <c r="C204" s="27"/>
      <c r="D204" s="6"/>
      <c r="E204" s="7"/>
      <c r="F204" s="7"/>
      <c r="G204" s="31"/>
      <c r="H204" s="43"/>
    </row>
    <row r="205" spans="1:8" s="11" customFormat="1" ht="15" hidden="1" customHeight="1" outlineLevel="3" thickBot="1" x14ac:dyDescent="0.25">
      <c r="A205" s="2"/>
      <c r="B205" s="1"/>
      <c r="C205" s="27"/>
      <c r="D205" s="6"/>
      <c r="E205" s="7"/>
      <c r="F205" s="7"/>
      <c r="G205" s="31"/>
      <c r="H205" s="43"/>
    </row>
    <row r="206" spans="1:8" s="11" customFormat="1" ht="15" hidden="1" customHeight="1" outlineLevel="3" thickBot="1" x14ac:dyDescent="0.25">
      <c r="A206" s="2"/>
      <c r="B206" s="1"/>
      <c r="C206" s="27"/>
      <c r="D206" s="6"/>
      <c r="E206" s="7"/>
      <c r="F206" s="7"/>
      <c r="G206" s="31"/>
      <c r="H206" s="43"/>
    </row>
    <row r="207" spans="1:8" s="11" customFormat="1" ht="15" hidden="1" customHeight="1" outlineLevel="3" thickBot="1" x14ac:dyDescent="0.25">
      <c r="A207" s="2"/>
      <c r="B207" s="1"/>
      <c r="C207" s="27"/>
      <c r="D207" s="6"/>
      <c r="E207" s="7"/>
      <c r="F207" s="7"/>
      <c r="G207" s="31"/>
      <c r="H207" s="43"/>
    </row>
    <row r="208" spans="1:8" s="11" customFormat="1" ht="15" hidden="1" customHeight="1" outlineLevel="2" collapsed="1" thickBot="1" x14ac:dyDescent="0.25">
      <c r="A208" s="106">
        <f>A203+0.01</f>
        <v>1.8500000000000008</v>
      </c>
      <c r="B208" s="107"/>
      <c r="C208" s="27"/>
      <c r="D208" s="6"/>
      <c r="E208" s="7"/>
      <c r="F208" s="30"/>
      <c r="G208" s="31"/>
      <c r="H208" s="43"/>
    </row>
    <row r="209" spans="1:8" s="11" customFormat="1" ht="15" hidden="1" customHeight="1" outlineLevel="3" thickBot="1" x14ac:dyDescent="0.25">
      <c r="A209" s="2"/>
      <c r="B209" s="1"/>
      <c r="C209" s="27"/>
      <c r="D209" s="6"/>
      <c r="E209" s="7"/>
      <c r="F209" s="7"/>
      <c r="G209" s="31"/>
      <c r="H209" s="43"/>
    </row>
    <row r="210" spans="1:8" s="11" customFormat="1" ht="15" hidden="1" customHeight="1" outlineLevel="3" thickBot="1" x14ac:dyDescent="0.25">
      <c r="A210" s="2"/>
      <c r="B210" s="1"/>
      <c r="C210" s="27"/>
      <c r="D210" s="6"/>
      <c r="E210" s="7"/>
      <c r="F210" s="7"/>
      <c r="G210" s="31"/>
      <c r="H210" s="43"/>
    </row>
    <row r="211" spans="1:8" s="11" customFormat="1" ht="15" hidden="1" customHeight="1" outlineLevel="3" thickBot="1" x14ac:dyDescent="0.25">
      <c r="A211" s="2"/>
      <c r="B211" s="1"/>
      <c r="C211" s="27"/>
      <c r="D211" s="6"/>
      <c r="E211" s="7"/>
      <c r="F211" s="7"/>
      <c r="G211" s="31"/>
      <c r="H211" s="43"/>
    </row>
    <row r="212" spans="1:8" s="11" customFormat="1" ht="15" hidden="1" customHeight="1" outlineLevel="3" thickBot="1" x14ac:dyDescent="0.25">
      <c r="A212" s="2"/>
      <c r="B212" s="1"/>
      <c r="C212" s="27"/>
      <c r="D212" s="6"/>
      <c r="E212" s="7"/>
      <c r="F212" s="7"/>
      <c r="G212" s="31"/>
      <c r="H212" s="43"/>
    </row>
    <row r="213" spans="1:8" s="11" customFormat="1" ht="15" hidden="1" customHeight="1" outlineLevel="1" collapsed="1" thickBot="1" x14ac:dyDescent="0.25">
      <c r="A213" s="2">
        <f>A187+0.1</f>
        <v>1.9000000000000008</v>
      </c>
      <c r="B213" s="1"/>
      <c r="C213" s="28"/>
      <c r="D213" s="5"/>
      <c r="E213" s="9"/>
      <c r="F213" s="10"/>
      <c r="G213" s="37"/>
      <c r="H213" s="36"/>
    </row>
    <row r="214" spans="1:8" s="11" customFormat="1" ht="15" hidden="1" customHeight="1" outlineLevel="2" collapsed="1" thickBot="1" x14ac:dyDescent="0.25">
      <c r="A214" s="106">
        <f>A213+0.01</f>
        <v>1.9100000000000008</v>
      </c>
      <c r="B214" s="107"/>
      <c r="C214" s="27"/>
      <c r="D214" s="6"/>
      <c r="E214" s="7"/>
      <c r="F214" s="7"/>
      <c r="G214" s="31"/>
      <c r="H214" s="43"/>
    </row>
    <row r="215" spans="1:8" s="11" customFormat="1" ht="15" hidden="1" customHeight="1" outlineLevel="3" thickBot="1" x14ac:dyDescent="0.25">
      <c r="A215" s="2"/>
      <c r="B215" s="1"/>
      <c r="C215" s="27"/>
      <c r="D215" s="6"/>
      <c r="E215" s="7"/>
      <c r="F215" s="7"/>
      <c r="G215" s="31"/>
      <c r="H215" s="43"/>
    </row>
    <row r="216" spans="1:8" s="11" customFormat="1" ht="15" hidden="1" customHeight="1" outlineLevel="3" thickBot="1" x14ac:dyDescent="0.25">
      <c r="A216" s="2"/>
      <c r="B216" s="1"/>
      <c r="C216" s="27"/>
      <c r="D216" s="6"/>
      <c r="E216" s="7"/>
      <c r="F216" s="7"/>
      <c r="G216" s="31"/>
      <c r="H216" s="43"/>
    </row>
    <row r="217" spans="1:8" s="11" customFormat="1" ht="15" hidden="1" customHeight="1" outlineLevel="3" thickBot="1" x14ac:dyDescent="0.25">
      <c r="A217" s="2"/>
      <c r="B217" s="1"/>
      <c r="C217" s="27"/>
      <c r="D217" s="6"/>
      <c r="E217" s="7"/>
      <c r="F217" s="7"/>
      <c r="G217" s="31"/>
      <c r="H217" s="43"/>
    </row>
    <row r="218" spans="1:8" s="11" customFormat="1" ht="15" hidden="1" customHeight="1" outlineLevel="3" thickBot="1" x14ac:dyDescent="0.25">
      <c r="A218" s="2"/>
      <c r="B218" s="1"/>
      <c r="C218" s="27"/>
      <c r="D218" s="6"/>
      <c r="E218" s="7"/>
      <c r="F218" s="7"/>
      <c r="G218" s="31"/>
      <c r="H218" s="43"/>
    </row>
    <row r="219" spans="1:8" s="11" customFormat="1" ht="15" hidden="1" customHeight="1" outlineLevel="2" collapsed="1" thickBot="1" x14ac:dyDescent="0.25">
      <c r="A219" s="106">
        <f>A214+0.01</f>
        <v>1.9200000000000008</v>
      </c>
      <c r="B219" s="107"/>
      <c r="C219" s="27"/>
      <c r="D219" s="6"/>
      <c r="E219" s="7"/>
      <c r="F219" s="7"/>
      <c r="G219" s="31"/>
      <c r="H219" s="43"/>
    </row>
    <row r="220" spans="1:8" s="11" customFormat="1" ht="15" hidden="1" customHeight="1" outlineLevel="3" thickBot="1" x14ac:dyDescent="0.25">
      <c r="A220" s="2"/>
      <c r="B220" s="1"/>
      <c r="C220" s="27"/>
      <c r="D220" s="6"/>
      <c r="E220" s="7"/>
      <c r="F220" s="7"/>
      <c r="G220" s="31"/>
      <c r="H220" s="43"/>
    </row>
    <row r="221" spans="1:8" s="11" customFormat="1" ht="15" hidden="1" customHeight="1" outlineLevel="3" thickBot="1" x14ac:dyDescent="0.25">
      <c r="A221" s="2"/>
      <c r="B221" s="1"/>
      <c r="C221" s="27"/>
      <c r="D221" s="6"/>
      <c r="E221" s="7"/>
      <c r="F221" s="7"/>
      <c r="G221" s="31"/>
      <c r="H221" s="43"/>
    </row>
    <row r="222" spans="1:8" s="11" customFormat="1" ht="15" hidden="1" customHeight="1" outlineLevel="3" thickBot="1" x14ac:dyDescent="0.25">
      <c r="A222" s="2"/>
      <c r="B222" s="1"/>
      <c r="C222" s="27"/>
      <c r="D222" s="6"/>
      <c r="E222" s="7"/>
      <c r="F222" s="7"/>
      <c r="G222" s="31"/>
      <c r="H222" s="43"/>
    </row>
    <row r="223" spans="1:8" s="11" customFormat="1" ht="15" hidden="1" customHeight="1" outlineLevel="3" thickBot="1" x14ac:dyDescent="0.25">
      <c r="A223" s="2"/>
      <c r="B223" s="1"/>
      <c r="C223" s="27"/>
      <c r="D223" s="6"/>
      <c r="E223" s="7"/>
      <c r="F223" s="7"/>
      <c r="G223" s="31"/>
      <c r="H223" s="43"/>
    </row>
    <row r="224" spans="1:8" s="11" customFormat="1" ht="15" hidden="1" customHeight="1" outlineLevel="2" collapsed="1" thickBot="1" x14ac:dyDescent="0.25">
      <c r="A224" s="106">
        <f>A219+0.01</f>
        <v>1.9300000000000008</v>
      </c>
      <c r="B224" s="107"/>
      <c r="C224" s="27"/>
      <c r="D224" s="6"/>
      <c r="E224" s="7"/>
      <c r="F224" s="7"/>
      <c r="G224" s="31"/>
      <c r="H224" s="43"/>
    </row>
    <row r="225" spans="1:8" s="11" customFormat="1" ht="15" hidden="1" customHeight="1" outlineLevel="3" thickBot="1" x14ac:dyDescent="0.25">
      <c r="A225" s="2"/>
      <c r="B225" s="1"/>
      <c r="C225" s="27"/>
      <c r="D225" s="6"/>
      <c r="E225" s="7"/>
      <c r="F225" s="7"/>
      <c r="G225" s="31"/>
      <c r="H225" s="43"/>
    </row>
    <row r="226" spans="1:8" s="11" customFormat="1" ht="15" hidden="1" customHeight="1" outlineLevel="3" thickBot="1" x14ac:dyDescent="0.25">
      <c r="A226" s="2"/>
      <c r="B226" s="1"/>
      <c r="C226" s="27"/>
      <c r="D226" s="6"/>
      <c r="E226" s="7"/>
      <c r="F226" s="7"/>
      <c r="G226" s="31"/>
      <c r="H226" s="43"/>
    </row>
    <row r="227" spans="1:8" s="11" customFormat="1" ht="15" hidden="1" customHeight="1" outlineLevel="3" thickBot="1" x14ac:dyDescent="0.25">
      <c r="A227" s="2"/>
      <c r="B227" s="1"/>
      <c r="C227" s="27"/>
      <c r="D227" s="6"/>
      <c r="E227" s="7"/>
      <c r="F227" s="7"/>
      <c r="G227" s="31"/>
      <c r="H227" s="43"/>
    </row>
    <row r="228" spans="1:8" s="11" customFormat="1" ht="15" hidden="1" customHeight="1" outlineLevel="3" thickBot="1" x14ac:dyDescent="0.25">
      <c r="A228" s="2"/>
      <c r="B228" s="1"/>
      <c r="C228" s="27"/>
      <c r="D228" s="6"/>
      <c r="E228" s="7"/>
      <c r="F228" s="7"/>
      <c r="G228" s="31"/>
      <c r="H228" s="43"/>
    </row>
    <row r="229" spans="1:8" s="11" customFormat="1" ht="15" hidden="1" customHeight="1" outlineLevel="2" collapsed="1" thickBot="1" x14ac:dyDescent="0.25">
      <c r="A229" s="2">
        <f>A224+0.01</f>
        <v>1.9400000000000008</v>
      </c>
      <c r="B229" s="1"/>
      <c r="C229" s="27"/>
      <c r="D229" s="6"/>
      <c r="E229" s="7"/>
      <c r="F229" s="7"/>
      <c r="G229" s="31"/>
      <c r="H229" s="43"/>
    </row>
    <row r="230" spans="1:8" s="11" customFormat="1" ht="15" hidden="1" customHeight="1" outlineLevel="3" thickBot="1" x14ac:dyDescent="0.25">
      <c r="A230" s="2"/>
      <c r="B230" s="1"/>
      <c r="C230" s="27"/>
      <c r="D230" s="6"/>
      <c r="E230" s="7"/>
      <c r="F230" s="7"/>
      <c r="G230" s="31"/>
      <c r="H230" s="43"/>
    </row>
    <row r="231" spans="1:8" s="11" customFormat="1" ht="15" hidden="1" customHeight="1" outlineLevel="3" thickBot="1" x14ac:dyDescent="0.25">
      <c r="A231" s="2"/>
      <c r="B231" s="1"/>
      <c r="C231" s="27"/>
      <c r="D231" s="6"/>
      <c r="E231" s="7"/>
      <c r="F231" s="7"/>
      <c r="G231" s="31"/>
      <c r="H231" s="43"/>
    </row>
    <row r="232" spans="1:8" s="11" customFormat="1" ht="15" hidden="1" customHeight="1" outlineLevel="3" thickBot="1" x14ac:dyDescent="0.25">
      <c r="A232" s="2"/>
      <c r="B232" s="1"/>
      <c r="C232" s="27"/>
      <c r="D232" s="6"/>
      <c r="E232" s="7"/>
      <c r="F232" s="7"/>
      <c r="G232" s="31"/>
      <c r="H232" s="43"/>
    </row>
    <row r="233" spans="1:8" s="11" customFormat="1" ht="15" hidden="1" customHeight="1" outlineLevel="3" thickBot="1" x14ac:dyDescent="0.25">
      <c r="A233" s="2"/>
      <c r="B233" s="1"/>
      <c r="C233" s="27"/>
      <c r="D233" s="6"/>
      <c r="E233" s="7"/>
      <c r="F233" s="7"/>
      <c r="G233" s="31"/>
      <c r="H233" s="43"/>
    </row>
    <row r="234" spans="1:8" s="11" customFormat="1" ht="15" hidden="1" customHeight="1" outlineLevel="2" collapsed="1" thickBot="1" x14ac:dyDescent="0.25">
      <c r="A234" s="106">
        <f>A229+0.01</f>
        <v>1.9500000000000008</v>
      </c>
      <c r="B234" s="107"/>
      <c r="C234" s="27"/>
      <c r="D234" s="6"/>
      <c r="E234" s="7"/>
      <c r="F234" s="30"/>
      <c r="G234" s="31"/>
      <c r="H234" s="43"/>
    </row>
    <row r="235" spans="1:8" s="11" customFormat="1" ht="15" hidden="1" customHeight="1" outlineLevel="3" thickBot="1" x14ac:dyDescent="0.25">
      <c r="A235" s="2"/>
      <c r="B235" s="1"/>
      <c r="C235" s="27"/>
      <c r="D235" s="6"/>
      <c r="E235" s="7"/>
      <c r="F235" s="7"/>
      <c r="G235" s="31"/>
      <c r="H235" s="43"/>
    </row>
    <row r="236" spans="1:8" s="11" customFormat="1" ht="15" hidden="1" customHeight="1" outlineLevel="3" thickBot="1" x14ac:dyDescent="0.25">
      <c r="A236" s="2"/>
      <c r="B236" s="1"/>
      <c r="C236" s="27"/>
      <c r="D236" s="6"/>
      <c r="E236" s="7"/>
      <c r="F236" s="7"/>
      <c r="G236" s="31"/>
      <c r="H236" s="43"/>
    </row>
    <row r="237" spans="1:8" s="11" customFormat="1" ht="15" hidden="1" customHeight="1" outlineLevel="3" thickBot="1" x14ac:dyDescent="0.25">
      <c r="A237" s="2"/>
      <c r="B237" s="1"/>
      <c r="C237" s="27"/>
      <c r="D237" s="6"/>
      <c r="E237" s="7"/>
      <c r="F237" s="7"/>
      <c r="G237" s="31"/>
      <c r="H237" s="43"/>
    </row>
    <row r="238" spans="1:8" s="11" customFormat="1" ht="15" hidden="1" customHeight="1" outlineLevel="3" thickBot="1" x14ac:dyDescent="0.25">
      <c r="A238" s="2"/>
      <c r="B238" s="1"/>
      <c r="C238" s="27"/>
      <c r="D238" s="6"/>
      <c r="E238" s="7"/>
      <c r="F238" s="7"/>
      <c r="G238" s="31"/>
      <c r="H238" s="43"/>
    </row>
    <row r="239" spans="1:8" s="29" customFormat="1" ht="15" customHeight="1" thickBot="1" x14ac:dyDescent="0.25">
      <c r="A239" s="96" t="s">
        <v>22</v>
      </c>
      <c r="B239" s="97"/>
      <c r="C239" s="97"/>
      <c r="D239" s="97"/>
      <c r="E239" s="97"/>
      <c r="F239" s="97"/>
      <c r="G239" s="98"/>
      <c r="H239" s="39"/>
    </row>
    <row r="240" spans="1:8" s="8" customFormat="1" ht="12" customHeight="1" x14ac:dyDescent="0.2">
      <c r="A240" s="123">
        <v>2</v>
      </c>
      <c r="B240" s="124"/>
      <c r="C240" s="70" t="s">
        <v>33</v>
      </c>
      <c r="D240" s="41"/>
      <c r="E240" s="41"/>
      <c r="F240" s="41"/>
      <c r="G240" s="42"/>
      <c r="H240" s="71"/>
    </row>
    <row r="241" spans="1:8" s="11" customFormat="1" ht="123.75" outlineLevel="3" x14ac:dyDescent="0.2">
      <c r="A241" s="2"/>
      <c r="B241" s="1"/>
      <c r="C241" s="58" t="s">
        <v>116</v>
      </c>
      <c r="D241" s="7"/>
      <c r="E241" s="75"/>
      <c r="F241" s="75"/>
      <c r="G241" s="76"/>
      <c r="H241" s="43"/>
    </row>
    <row r="242" spans="1:8" s="11" customFormat="1" ht="15" customHeight="1" outlineLevel="1" x14ac:dyDescent="0.2">
      <c r="A242" s="2">
        <f>A240+0.1</f>
        <v>2.1</v>
      </c>
      <c r="B242" s="1"/>
      <c r="C242" s="57" t="s">
        <v>34</v>
      </c>
      <c r="D242" s="5"/>
      <c r="E242" s="72"/>
      <c r="F242" s="10"/>
      <c r="G242" s="73"/>
      <c r="H242" s="74"/>
    </row>
    <row r="243" spans="1:8" s="11" customFormat="1" ht="45" outlineLevel="2" collapsed="1" x14ac:dyDescent="0.2">
      <c r="A243" s="106">
        <f>A242+0.01</f>
        <v>2.11</v>
      </c>
      <c r="B243" s="107"/>
      <c r="C243" s="59" t="s">
        <v>38</v>
      </c>
      <c r="D243" s="6" t="s">
        <v>17</v>
      </c>
      <c r="E243" s="75">
        <v>1</v>
      </c>
      <c r="F243" s="75"/>
      <c r="G243" s="76"/>
      <c r="H243" s="43"/>
    </row>
    <row r="244" spans="1:8" s="11" customFormat="1" ht="15" hidden="1" customHeight="1" outlineLevel="3" x14ac:dyDescent="0.2">
      <c r="A244" s="2"/>
      <c r="B244" s="1"/>
      <c r="C244" s="27"/>
      <c r="D244" s="6"/>
      <c r="E244" s="75"/>
      <c r="F244" s="75"/>
      <c r="G244" s="76"/>
      <c r="H244" s="43"/>
    </row>
    <row r="245" spans="1:8" s="11" customFormat="1" ht="15" hidden="1" customHeight="1" outlineLevel="3" x14ac:dyDescent="0.2">
      <c r="A245" s="2"/>
      <c r="B245" s="1"/>
      <c r="C245" s="27"/>
      <c r="D245" s="6"/>
      <c r="E245" s="75"/>
      <c r="F245" s="75"/>
      <c r="G245" s="76"/>
      <c r="H245" s="43"/>
    </row>
    <row r="246" spans="1:8" s="11" customFormat="1" ht="15" hidden="1" customHeight="1" outlineLevel="3" x14ac:dyDescent="0.2">
      <c r="A246" s="2"/>
      <c r="B246" s="1"/>
      <c r="C246" s="27"/>
      <c r="D246" s="6"/>
      <c r="E246" s="75"/>
      <c r="F246" s="75"/>
      <c r="G246" s="76"/>
      <c r="H246" s="43"/>
    </row>
    <row r="247" spans="1:8" s="11" customFormat="1" ht="15" hidden="1" customHeight="1" outlineLevel="3" x14ac:dyDescent="0.2">
      <c r="A247" s="2"/>
      <c r="B247" s="1"/>
      <c r="C247" s="27"/>
      <c r="D247" s="6"/>
      <c r="E247" s="75"/>
      <c r="F247" s="75"/>
      <c r="G247" s="76"/>
      <c r="H247" s="43"/>
    </row>
    <row r="248" spans="1:8" s="11" customFormat="1" ht="15" hidden="1" customHeight="1" outlineLevel="2" collapsed="1" x14ac:dyDescent="0.2">
      <c r="A248" s="106">
        <f>A243+0.01</f>
        <v>2.1199999999999997</v>
      </c>
      <c r="B248" s="107"/>
      <c r="C248" s="27"/>
      <c r="D248" s="6"/>
      <c r="E248" s="75"/>
      <c r="F248" s="75"/>
      <c r="G248" s="76"/>
      <c r="H248" s="43"/>
    </row>
    <row r="249" spans="1:8" s="11" customFormat="1" ht="15" hidden="1" customHeight="1" outlineLevel="3" x14ac:dyDescent="0.2">
      <c r="A249" s="2"/>
      <c r="B249" s="1"/>
      <c r="C249" s="27"/>
      <c r="D249" s="6"/>
      <c r="E249" s="75"/>
      <c r="F249" s="75"/>
      <c r="G249" s="76"/>
      <c r="H249" s="43"/>
    </row>
    <row r="250" spans="1:8" s="11" customFormat="1" ht="15" hidden="1" customHeight="1" outlineLevel="3" x14ac:dyDescent="0.2">
      <c r="A250" s="2"/>
      <c r="B250" s="1"/>
      <c r="C250" s="27"/>
      <c r="D250" s="6"/>
      <c r="E250" s="75"/>
      <c r="F250" s="75"/>
      <c r="G250" s="76"/>
      <c r="H250" s="43"/>
    </row>
    <row r="251" spans="1:8" s="11" customFormat="1" ht="15" hidden="1" customHeight="1" outlineLevel="3" x14ac:dyDescent="0.2">
      <c r="A251" s="2"/>
      <c r="B251" s="1"/>
      <c r="C251" s="27"/>
      <c r="D251" s="6"/>
      <c r="E251" s="75"/>
      <c r="F251" s="75"/>
      <c r="G251" s="76"/>
      <c r="H251" s="43"/>
    </row>
    <row r="252" spans="1:8" s="11" customFormat="1" ht="15" hidden="1" customHeight="1" outlineLevel="3" x14ac:dyDescent="0.2">
      <c r="A252" s="2"/>
      <c r="B252" s="1"/>
      <c r="C252" s="27"/>
      <c r="D252" s="6"/>
      <c r="E252" s="75"/>
      <c r="F252" s="75"/>
      <c r="G252" s="76"/>
      <c r="H252" s="43"/>
    </row>
    <row r="253" spans="1:8" s="11" customFormat="1" ht="15" hidden="1" customHeight="1" outlineLevel="2" collapsed="1" x14ac:dyDescent="0.2">
      <c r="A253" s="106">
        <f>A248+0.01</f>
        <v>2.1299999999999994</v>
      </c>
      <c r="B253" s="107"/>
      <c r="C253" s="27"/>
      <c r="D253" s="6"/>
      <c r="E253" s="75"/>
      <c r="F253" s="75"/>
      <c r="G253" s="76"/>
      <c r="H253" s="43"/>
    </row>
    <row r="254" spans="1:8" s="11" customFormat="1" ht="15" hidden="1" customHeight="1" outlineLevel="3" x14ac:dyDescent="0.2">
      <c r="A254" s="2"/>
      <c r="B254" s="1"/>
      <c r="C254" s="27"/>
      <c r="D254" s="6"/>
      <c r="E254" s="75"/>
      <c r="F254" s="75"/>
      <c r="G254" s="76"/>
      <c r="H254" s="43"/>
    </row>
    <row r="255" spans="1:8" s="11" customFormat="1" ht="15" hidden="1" customHeight="1" outlineLevel="3" x14ac:dyDescent="0.2">
      <c r="A255" s="2"/>
      <c r="B255" s="1"/>
      <c r="C255" s="27"/>
      <c r="D255" s="6"/>
      <c r="E255" s="75"/>
      <c r="F255" s="75"/>
      <c r="G255" s="76"/>
      <c r="H255" s="43"/>
    </row>
    <row r="256" spans="1:8" s="11" customFormat="1" ht="15" hidden="1" customHeight="1" outlineLevel="3" x14ac:dyDescent="0.2">
      <c r="A256" s="2"/>
      <c r="B256" s="1"/>
      <c r="C256" s="27"/>
      <c r="D256" s="6"/>
      <c r="E256" s="75"/>
      <c r="F256" s="75"/>
      <c r="G256" s="76"/>
      <c r="H256" s="43"/>
    </row>
    <row r="257" spans="1:8" s="11" customFormat="1" ht="15" hidden="1" customHeight="1" outlineLevel="3" x14ac:dyDescent="0.2">
      <c r="A257" s="2"/>
      <c r="B257" s="1"/>
      <c r="C257" s="27"/>
      <c r="D257" s="6"/>
      <c r="E257" s="75"/>
      <c r="F257" s="75"/>
      <c r="G257" s="76"/>
      <c r="H257" s="43"/>
    </row>
    <row r="258" spans="1:8" s="11" customFormat="1" ht="15" hidden="1" customHeight="1" outlineLevel="2" collapsed="1" x14ac:dyDescent="0.2">
      <c r="A258" s="2">
        <f>A253+0.01</f>
        <v>2.1399999999999992</v>
      </c>
      <c r="B258" s="1"/>
      <c r="C258" s="27"/>
      <c r="D258" s="6"/>
      <c r="E258" s="75"/>
      <c r="F258" s="75"/>
      <c r="G258" s="76"/>
      <c r="H258" s="43"/>
    </row>
    <row r="259" spans="1:8" s="11" customFormat="1" ht="15" hidden="1" customHeight="1" outlineLevel="3" x14ac:dyDescent="0.2">
      <c r="A259" s="2"/>
      <c r="B259" s="1"/>
      <c r="C259" s="27"/>
      <c r="D259" s="6"/>
      <c r="E259" s="75"/>
      <c r="F259" s="75"/>
      <c r="G259" s="76"/>
      <c r="H259" s="43"/>
    </row>
    <row r="260" spans="1:8" s="11" customFormat="1" ht="15" hidden="1" customHeight="1" outlineLevel="3" x14ac:dyDescent="0.2">
      <c r="A260" s="2"/>
      <c r="B260" s="1"/>
      <c r="C260" s="27"/>
      <c r="D260" s="6"/>
      <c r="E260" s="75"/>
      <c r="F260" s="75"/>
      <c r="G260" s="76"/>
      <c r="H260" s="43"/>
    </row>
    <row r="261" spans="1:8" s="11" customFormat="1" ht="15" hidden="1" customHeight="1" outlineLevel="3" x14ac:dyDescent="0.2">
      <c r="A261" s="2"/>
      <c r="B261" s="1"/>
      <c r="C261" s="27"/>
      <c r="D261" s="6"/>
      <c r="E261" s="75"/>
      <c r="F261" s="75"/>
      <c r="G261" s="76"/>
      <c r="H261" s="43"/>
    </row>
    <row r="262" spans="1:8" s="11" customFormat="1" ht="15" hidden="1" customHeight="1" outlineLevel="3" x14ac:dyDescent="0.2">
      <c r="A262" s="2"/>
      <c r="B262" s="1"/>
      <c r="C262" s="27"/>
      <c r="D262" s="6"/>
      <c r="E262" s="75"/>
      <c r="F262" s="75"/>
      <c r="G262" s="76"/>
      <c r="H262" s="43"/>
    </row>
    <row r="263" spans="1:8" s="11" customFormat="1" ht="15" hidden="1" customHeight="1" outlineLevel="2" collapsed="1" x14ac:dyDescent="0.2">
      <c r="A263" s="106">
        <f>A258+0.01</f>
        <v>2.149999999999999</v>
      </c>
      <c r="B263" s="107"/>
      <c r="C263" s="27"/>
      <c r="D263" s="6"/>
      <c r="E263" s="75"/>
      <c r="F263" s="77"/>
      <c r="G263" s="76"/>
      <c r="H263" s="43"/>
    </row>
    <row r="264" spans="1:8" s="11" customFormat="1" ht="15" hidden="1" customHeight="1" outlineLevel="3" x14ac:dyDescent="0.2">
      <c r="A264" s="2"/>
      <c r="B264" s="1"/>
      <c r="C264" s="27"/>
      <c r="D264" s="6"/>
      <c r="E264" s="75"/>
      <c r="F264" s="75"/>
      <c r="G264" s="76"/>
      <c r="H264" s="43"/>
    </row>
    <row r="265" spans="1:8" s="11" customFormat="1" ht="15" hidden="1" customHeight="1" outlineLevel="3" x14ac:dyDescent="0.2">
      <c r="A265" s="2"/>
      <c r="B265" s="1"/>
      <c r="C265" s="27"/>
      <c r="D265" s="6"/>
      <c r="E265" s="75"/>
      <c r="F265" s="75"/>
      <c r="G265" s="76"/>
      <c r="H265" s="43"/>
    </row>
    <row r="266" spans="1:8" s="11" customFormat="1" ht="15" hidden="1" customHeight="1" outlineLevel="3" x14ac:dyDescent="0.2">
      <c r="A266" s="2"/>
      <c r="B266" s="1"/>
      <c r="C266" s="27"/>
      <c r="D266" s="6"/>
      <c r="E266" s="75"/>
      <c r="F266" s="75"/>
      <c r="G266" s="76"/>
      <c r="H266" s="43"/>
    </row>
    <row r="267" spans="1:8" s="11" customFormat="1" ht="15" hidden="1" customHeight="1" outlineLevel="3" x14ac:dyDescent="0.2">
      <c r="A267" s="2"/>
      <c r="B267" s="1"/>
      <c r="C267" s="27"/>
      <c r="D267" s="6"/>
      <c r="E267" s="75"/>
      <c r="F267" s="75"/>
      <c r="G267" s="76"/>
      <c r="H267" s="43"/>
    </row>
    <row r="268" spans="1:8" s="11" customFormat="1" ht="15" customHeight="1" outlineLevel="1" x14ac:dyDescent="0.2">
      <c r="A268" s="2">
        <f>A242+0.1</f>
        <v>2.2000000000000002</v>
      </c>
      <c r="B268" s="1"/>
      <c r="C268" s="28" t="s">
        <v>35</v>
      </c>
      <c r="D268" s="5"/>
      <c r="E268" s="72"/>
      <c r="F268" s="10"/>
      <c r="G268" s="73"/>
      <c r="H268" s="74"/>
    </row>
    <row r="269" spans="1:8" s="11" customFormat="1" ht="15" customHeight="1" outlineLevel="2" x14ac:dyDescent="0.2">
      <c r="A269" s="106">
        <f>A268+0.01</f>
        <v>2.21</v>
      </c>
      <c r="B269" s="107"/>
      <c r="C269" s="60" t="s">
        <v>41</v>
      </c>
      <c r="D269" s="7"/>
      <c r="E269" s="75"/>
      <c r="F269" s="75"/>
      <c r="G269" s="76"/>
      <c r="H269" s="43"/>
    </row>
    <row r="270" spans="1:8" s="11" customFormat="1" ht="45" outlineLevel="3" x14ac:dyDescent="0.2">
      <c r="A270" s="2"/>
      <c r="B270" s="1"/>
      <c r="C270" s="78" t="s">
        <v>117</v>
      </c>
      <c r="D270" s="6" t="s">
        <v>17</v>
      </c>
      <c r="E270" s="75">
        <v>18</v>
      </c>
      <c r="F270" s="75"/>
      <c r="G270" s="76"/>
      <c r="H270" s="43"/>
    </row>
    <row r="271" spans="1:8" s="11" customFormat="1" ht="33.75" outlineLevel="3" x14ac:dyDescent="0.2">
      <c r="A271" s="2"/>
      <c r="B271" s="1"/>
      <c r="C271" s="62" t="s">
        <v>43</v>
      </c>
      <c r="D271" s="6" t="s">
        <v>17</v>
      </c>
      <c r="E271" s="75">
        <v>18</v>
      </c>
      <c r="F271" s="75"/>
      <c r="G271" s="76"/>
      <c r="H271" s="43"/>
    </row>
    <row r="272" spans="1:8" s="11" customFormat="1" ht="15" customHeight="1" outlineLevel="3" x14ac:dyDescent="0.2">
      <c r="A272" s="2"/>
      <c r="B272" s="1"/>
      <c r="C272" s="62" t="s">
        <v>44</v>
      </c>
      <c r="D272" s="6" t="s">
        <v>17</v>
      </c>
      <c r="E272" s="75">
        <v>18</v>
      </c>
      <c r="F272" s="75"/>
      <c r="G272" s="76"/>
      <c r="H272" s="43"/>
    </row>
    <row r="273" spans="1:8" s="11" customFormat="1" ht="15" customHeight="1" outlineLevel="2" x14ac:dyDescent="0.2">
      <c r="A273" s="106">
        <f>A269+0.01</f>
        <v>2.2199999999999998</v>
      </c>
      <c r="B273" s="107"/>
      <c r="C273" s="61" t="s">
        <v>40</v>
      </c>
      <c r="D273" s="7"/>
      <c r="E273" s="75"/>
      <c r="F273" s="75"/>
      <c r="G273" s="76"/>
      <c r="H273" s="43"/>
    </row>
    <row r="274" spans="1:8" s="11" customFormat="1" ht="33.75" outlineLevel="3" x14ac:dyDescent="0.2">
      <c r="A274" s="2"/>
      <c r="B274" s="1"/>
      <c r="C274" s="63" t="s">
        <v>45</v>
      </c>
      <c r="D274" s="6" t="s">
        <v>17</v>
      </c>
      <c r="E274" s="75">
        <v>18</v>
      </c>
      <c r="F274" s="75"/>
      <c r="G274" s="76"/>
      <c r="H274" s="43"/>
    </row>
    <row r="275" spans="1:8" s="11" customFormat="1" ht="56.25" outlineLevel="3" x14ac:dyDescent="0.2">
      <c r="A275" s="2"/>
      <c r="B275" s="1"/>
      <c r="C275" s="63" t="s">
        <v>46</v>
      </c>
      <c r="D275" s="6" t="s">
        <v>17</v>
      </c>
      <c r="E275" s="75">
        <v>18</v>
      </c>
      <c r="F275" s="75"/>
      <c r="G275" s="76"/>
      <c r="H275" s="43"/>
    </row>
    <row r="276" spans="1:8" s="11" customFormat="1" ht="33.75" outlineLevel="3" x14ac:dyDescent="0.2">
      <c r="A276" s="2"/>
      <c r="B276" s="1"/>
      <c r="C276" s="63" t="s">
        <v>47</v>
      </c>
      <c r="D276" s="6" t="s">
        <v>17</v>
      </c>
      <c r="E276" s="75">
        <v>18</v>
      </c>
      <c r="F276" s="75"/>
      <c r="G276" s="76"/>
      <c r="H276" s="43"/>
    </row>
    <row r="277" spans="1:8" s="11" customFormat="1" ht="56.25" outlineLevel="3" x14ac:dyDescent="0.2">
      <c r="A277" s="2"/>
      <c r="B277" s="1"/>
      <c r="C277" s="63" t="s">
        <v>48</v>
      </c>
      <c r="D277" s="6" t="s">
        <v>17</v>
      </c>
      <c r="E277" s="75">
        <v>18</v>
      </c>
      <c r="F277" s="75"/>
      <c r="G277" s="76"/>
      <c r="H277" s="43"/>
    </row>
    <row r="278" spans="1:8" s="11" customFormat="1" ht="15" hidden="1" customHeight="1" outlineLevel="3" x14ac:dyDescent="0.2">
      <c r="A278" s="2"/>
      <c r="B278" s="1"/>
      <c r="C278" s="27"/>
      <c r="D278" s="6"/>
      <c r="E278" s="75"/>
      <c r="F278" s="75"/>
      <c r="G278" s="76"/>
      <c r="H278" s="43"/>
    </row>
    <row r="279" spans="1:8" s="11" customFormat="1" ht="15" hidden="1" customHeight="1" outlineLevel="3" x14ac:dyDescent="0.2">
      <c r="A279" s="2"/>
      <c r="B279" s="1"/>
      <c r="C279" s="27"/>
      <c r="D279" s="6"/>
      <c r="E279" s="75"/>
      <c r="F279" s="75"/>
      <c r="G279" s="76"/>
      <c r="H279" s="43"/>
    </row>
    <row r="280" spans="1:8" s="11" customFormat="1" ht="15" hidden="1" customHeight="1" outlineLevel="3" x14ac:dyDescent="0.2">
      <c r="A280" s="2"/>
      <c r="B280" s="1"/>
      <c r="C280" s="27"/>
      <c r="D280" s="6"/>
      <c r="E280" s="75"/>
      <c r="F280" s="75"/>
      <c r="G280" s="76"/>
      <c r="H280" s="43"/>
    </row>
    <row r="281" spans="1:8" s="11" customFormat="1" ht="15" hidden="1" customHeight="1" outlineLevel="3" x14ac:dyDescent="0.2">
      <c r="A281" s="2"/>
      <c r="B281" s="1"/>
      <c r="C281" s="27"/>
      <c r="D281" s="6"/>
      <c r="E281" s="75"/>
      <c r="F281" s="75"/>
      <c r="G281" s="76"/>
      <c r="H281" s="43"/>
    </row>
    <row r="282" spans="1:8" s="11" customFormat="1" ht="15" customHeight="1" outlineLevel="2" x14ac:dyDescent="0.2">
      <c r="A282" s="106">
        <f>A273+0.01</f>
        <v>2.2299999999999995</v>
      </c>
      <c r="B282" s="107"/>
      <c r="C282" s="61" t="s">
        <v>39</v>
      </c>
      <c r="D282" s="7"/>
      <c r="E282" s="75"/>
      <c r="F282" s="75"/>
      <c r="G282" s="76"/>
      <c r="H282" s="43"/>
    </row>
    <row r="283" spans="1:8" s="11" customFormat="1" ht="15" customHeight="1" outlineLevel="3" x14ac:dyDescent="0.2">
      <c r="A283" s="2"/>
      <c r="B283" s="1"/>
      <c r="C283" s="54" t="s">
        <v>42</v>
      </c>
      <c r="D283" s="6" t="s">
        <v>17</v>
      </c>
      <c r="E283" s="75">
        <v>1</v>
      </c>
      <c r="F283" s="75"/>
      <c r="G283" s="76"/>
      <c r="H283" s="43"/>
    </row>
    <row r="284" spans="1:8" s="11" customFormat="1" ht="15" hidden="1" customHeight="1" outlineLevel="3" x14ac:dyDescent="0.2">
      <c r="A284" s="2"/>
      <c r="B284" s="1"/>
      <c r="C284" s="27"/>
      <c r="D284" s="6"/>
      <c r="E284" s="75"/>
      <c r="F284" s="75"/>
      <c r="G284" s="76"/>
      <c r="H284" s="43"/>
    </row>
    <row r="285" spans="1:8" s="11" customFormat="1" ht="15" hidden="1" customHeight="1" outlineLevel="3" x14ac:dyDescent="0.2">
      <c r="A285" s="2"/>
      <c r="B285" s="1"/>
      <c r="C285" s="27"/>
      <c r="D285" s="6"/>
      <c r="E285" s="75"/>
      <c r="F285" s="75"/>
      <c r="G285" s="76"/>
      <c r="H285" s="43"/>
    </row>
    <row r="286" spans="1:8" s="11" customFormat="1" ht="15" hidden="1" customHeight="1" outlineLevel="3" x14ac:dyDescent="0.2">
      <c r="A286" s="2"/>
      <c r="B286" s="1"/>
      <c r="C286" s="27"/>
      <c r="D286" s="6"/>
      <c r="E286" s="75"/>
      <c r="F286" s="75"/>
      <c r="G286" s="76"/>
      <c r="H286" s="43"/>
    </row>
    <row r="287" spans="1:8" s="11" customFormat="1" ht="15" hidden="1" customHeight="1" outlineLevel="2" collapsed="1" x14ac:dyDescent="0.2">
      <c r="A287" s="2">
        <f>A282+0.01</f>
        <v>2.2399999999999993</v>
      </c>
      <c r="B287" s="1"/>
      <c r="C287" s="27"/>
      <c r="D287" s="6"/>
      <c r="E287" s="75"/>
      <c r="F287" s="75"/>
      <c r="G287" s="76"/>
      <c r="H287" s="43"/>
    </row>
    <row r="288" spans="1:8" s="11" customFormat="1" ht="15" hidden="1" customHeight="1" outlineLevel="3" x14ac:dyDescent="0.2">
      <c r="A288" s="2"/>
      <c r="B288" s="1"/>
      <c r="C288" s="27"/>
      <c r="D288" s="6"/>
      <c r="E288" s="75"/>
      <c r="F288" s="75"/>
      <c r="G288" s="76"/>
      <c r="H288" s="43"/>
    </row>
    <row r="289" spans="1:8" s="11" customFormat="1" ht="15" hidden="1" customHeight="1" outlineLevel="3" x14ac:dyDescent="0.2">
      <c r="A289" s="2"/>
      <c r="B289" s="1"/>
      <c r="C289" s="27"/>
      <c r="D289" s="6"/>
      <c r="E289" s="75"/>
      <c r="F289" s="75"/>
      <c r="G289" s="76"/>
      <c r="H289" s="43"/>
    </row>
    <row r="290" spans="1:8" s="11" customFormat="1" ht="15" hidden="1" customHeight="1" outlineLevel="3" x14ac:dyDescent="0.2">
      <c r="A290" s="2"/>
      <c r="B290" s="1"/>
      <c r="C290" s="27"/>
      <c r="D290" s="6"/>
      <c r="E290" s="75"/>
      <c r="F290" s="75"/>
      <c r="G290" s="76"/>
      <c r="H290" s="43"/>
    </row>
    <row r="291" spans="1:8" s="11" customFormat="1" ht="15" hidden="1" customHeight="1" outlineLevel="3" x14ac:dyDescent="0.2">
      <c r="A291" s="2"/>
      <c r="B291" s="1"/>
      <c r="C291" s="27"/>
      <c r="D291" s="6"/>
      <c r="E291" s="75"/>
      <c r="F291" s="75"/>
      <c r="G291" s="76"/>
      <c r="H291" s="43"/>
    </row>
    <row r="292" spans="1:8" s="11" customFormat="1" ht="15" hidden="1" customHeight="1" outlineLevel="2" collapsed="1" x14ac:dyDescent="0.2">
      <c r="A292" s="106">
        <f>A287+0.01</f>
        <v>2.2499999999999991</v>
      </c>
      <c r="B292" s="107"/>
      <c r="C292" s="27"/>
      <c r="D292" s="6"/>
      <c r="E292" s="75"/>
      <c r="F292" s="77"/>
      <c r="G292" s="76"/>
      <c r="H292" s="43"/>
    </row>
    <row r="293" spans="1:8" s="11" customFormat="1" ht="15" hidden="1" customHeight="1" outlineLevel="3" x14ac:dyDescent="0.2">
      <c r="A293" s="2"/>
      <c r="B293" s="1"/>
      <c r="C293" s="27"/>
      <c r="D293" s="6"/>
      <c r="E293" s="75"/>
      <c r="F293" s="75"/>
      <c r="G293" s="76"/>
      <c r="H293" s="43"/>
    </row>
    <row r="294" spans="1:8" s="11" customFormat="1" ht="15" hidden="1" customHeight="1" outlineLevel="3" x14ac:dyDescent="0.2">
      <c r="A294" s="2"/>
      <c r="B294" s="1"/>
      <c r="C294" s="27"/>
      <c r="D294" s="6"/>
      <c r="E294" s="75"/>
      <c r="F294" s="75"/>
      <c r="G294" s="76"/>
      <c r="H294" s="43"/>
    </row>
    <row r="295" spans="1:8" s="11" customFormat="1" ht="15" hidden="1" customHeight="1" outlineLevel="3" x14ac:dyDescent="0.2">
      <c r="A295" s="2"/>
      <c r="B295" s="1"/>
      <c r="C295" s="27"/>
      <c r="D295" s="6"/>
      <c r="E295" s="75"/>
      <c r="F295" s="75"/>
      <c r="G295" s="76"/>
      <c r="H295" s="43"/>
    </row>
    <row r="296" spans="1:8" s="11" customFormat="1" ht="15" hidden="1" customHeight="1" outlineLevel="3" x14ac:dyDescent="0.2">
      <c r="A296" s="2"/>
      <c r="B296" s="1"/>
      <c r="C296" s="27"/>
      <c r="D296" s="6"/>
      <c r="E296" s="75"/>
      <c r="F296" s="75"/>
      <c r="G296" s="76"/>
      <c r="H296" s="43"/>
    </row>
    <row r="297" spans="1:8" s="11" customFormat="1" ht="15" customHeight="1" outlineLevel="1" x14ac:dyDescent="0.2">
      <c r="A297" s="2">
        <f>A268+0.1</f>
        <v>2.3000000000000003</v>
      </c>
      <c r="B297" s="1"/>
      <c r="C297" s="28" t="s">
        <v>36</v>
      </c>
      <c r="D297" s="5"/>
      <c r="E297" s="72"/>
      <c r="F297" s="10"/>
      <c r="G297" s="73"/>
      <c r="H297" s="74"/>
    </row>
    <row r="298" spans="1:8" s="11" customFormat="1" ht="15" customHeight="1" outlineLevel="2" x14ac:dyDescent="0.2">
      <c r="A298" s="106">
        <f>A297+0.01</f>
        <v>2.31</v>
      </c>
      <c r="B298" s="107"/>
      <c r="C298" s="64" t="s">
        <v>49</v>
      </c>
      <c r="D298" s="7"/>
      <c r="E298" s="75"/>
      <c r="F298" s="75"/>
      <c r="G298" s="76"/>
      <c r="H298" s="43"/>
    </row>
    <row r="299" spans="1:8" s="11" customFormat="1" ht="67.5" outlineLevel="3" x14ac:dyDescent="0.2">
      <c r="A299" s="2"/>
      <c r="B299" s="1"/>
      <c r="C299" s="56" t="s">
        <v>50</v>
      </c>
      <c r="D299" s="6" t="s">
        <v>17</v>
      </c>
      <c r="E299" s="75">
        <v>18</v>
      </c>
      <c r="F299" s="75"/>
      <c r="G299" s="76"/>
      <c r="H299" s="43"/>
    </row>
    <row r="300" spans="1:8" s="11" customFormat="1" ht="33.75" outlineLevel="3" x14ac:dyDescent="0.2">
      <c r="A300" s="2"/>
      <c r="B300" s="1"/>
      <c r="C300" s="56" t="s">
        <v>113</v>
      </c>
      <c r="D300" s="6" t="s">
        <v>17</v>
      </c>
      <c r="E300" s="75">
        <f>6+4+6+6+9+2</f>
        <v>33</v>
      </c>
      <c r="F300" s="75"/>
      <c r="G300" s="76"/>
      <c r="H300" s="43"/>
    </row>
    <row r="301" spans="1:8" s="11" customFormat="1" ht="15" hidden="1" customHeight="1" outlineLevel="3" x14ac:dyDescent="0.2">
      <c r="A301" s="2"/>
      <c r="B301" s="1"/>
      <c r="C301" s="27"/>
      <c r="D301" s="6"/>
      <c r="E301" s="75"/>
      <c r="F301" s="75"/>
      <c r="G301" s="76"/>
      <c r="H301" s="43"/>
    </row>
    <row r="302" spans="1:8" s="11" customFormat="1" ht="15" hidden="1" customHeight="1" outlineLevel="3" x14ac:dyDescent="0.2">
      <c r="A302" s="2"/>
      <c r="B302" s="1"/>
      <c r="C302" s="27"/>
      <c r="D302" s="6"/>
      <c r="E302" s="75"/>
      <c r="F302" s="75"/>
      <c r="G302" s="76"/>
      <c r="H302" s="43"/>
    </row>
    <row r="303" spans="1:8" s="11" customFormat="1" ht="15" hidden="1" customHeight="1" outlineLevel="2" collapsed="1" x14ac:dyDescent="0.2">
      <c r="A303" s="106">
        <f>A298+0.01</f>
        <v>2.3199999999999998</v>
      </c>
      <c r="B303" s="107"/>
      <c r="C303" s="27"/>
      <c r="D303" s="6"/>
      <c r="E303" s="75"/>
      <c r="F303" s="75"/>
      <c r="G303" s="76"/>
      <c r="H303" s="43"/>
    </row>
    <row r="304" spans="1:8" s="11" customFormat="1" ht="15" hidden="1" customHeight="1" outlineLevel="3" x14ac:dyDescent="0.2">
      <c r="A304" s="2"/>
      <c r="B304" s="1"/>
      <c r="C304" s="27"/>
      <c r="D304" s="6"/>
      <c r="E304" s="75"/>
      <c r="F304" s="75"/>
      <c r="G304" s="76"/>
      <c r="H304" s="43"/>
    </row>
    <row r="305" spans="1:8" s="11" customFormat="1" ht="15" hidden="1" customHeight="1" outlineLevel="3" x14ac:dyDescent="0.2">
      <c r="A305" s="2"/>
      <c r="B305" s="1"/>
      <c r="C305" s="27"/>
      <c r="D305" s="6"/>
      <c r="E305" s="75"/>
      <c r="F305" s="75"/>
      <c r="G305" s="76"/>
      <c r="H305" s="43"/>
    </row>
    <row r="306" spans="1:8" s="11" customFormat="1" ht="15" hidden="1" customHeight="1" outlineLevel="3" x14ac:dyDescent="0.2">
      <c r="A306" s="2"/>
      <c r="B306" s="1"/>
      <c r="C306" s="27"/>
      <c r="D306" s="6"/>
      <c r="E306" s="75"/>
      <c r="F306" s="75"/>
      <c r="G306" s="76"/>
      <c r="H306" s="43"/>
    </row>
    <row r="307" spans="1:8" s="11" customFormat="1" ht="15" hidden="1" customHeight="1" outlineLevel="3" x14ac:dyDescent="0.2">
      <c r="A307" s="2"/>
      <c r="B307" s="1"/>
      <c r="C307" s="27"/>
      <c r="D307" s="6"/>
      <c r="E307" s="75"/>
      <c r="F307" s="75"/>
      <c r="G307" s="76"/>
      <c r="H307" s="43"/>
    </row>
    <row r="308" spans="1:8" s="11" customFormat="1" ht="15" hidden="1" customHeight="1" outlineLevel="2" collapsed="1" x14ac:dyDescent="0.2">
      <c r="A308" s="106">
        <f>A303+0.01</f>
        <v>2.3299999999999996</v>
      </c>
      <c r="B308" s="107"/>
      <c r="C308" s="27"/>
      <c r="D308" s="6"/>
      <c r="E308" s="75"/>
      <c r="F308" s="75"/>
      <c r="G308" s="76"/>
      <c r="H308" s="43"/>
    </row>
    <row r="309" spans="1:8" s="11" customFormat="1" ht="15" hidden="1" customHeight="1" outlineLevel="3" x14ac:dyDescent="0.2">
      <c r="A309" s="2"/>
      <c r="B309" s="1"/>
      <c r="C309" s="27"/>
      <c r="D309" s="6"/>
      <c r="E309" s="75"/>
      <c r="F309" s="75"/>
      <c r="G309" s="76"/>
      <c r="H309" s="43"/>
    </row>
    <row r="310" spans="1:8" s="11" customFormat="1" ht="15" hidden="1" customHeight="1" outlineLevel="3" x14ac:dyDescent="0.2">
      <c r="A310" s="2"/>
      <c r="B310" s="1"/>
      <c r="C310" s="27"/>
      <c r="D310" s="6"/>
      <c r="E310" s="75"/>
      <c r="F310" s="75"/>
      <c r="G310" s="76"/>
      <c r="H310" s="43"/>
    </row>
    <row r="311" spans="1:8" s="11" customFormat="1" ht="15" hidden="1" customHeight="1" outlineLevel="3" x14ac:dyDescent="0.2">
      <c r="A311" s="2"/>
      <c r="B311" s="1"/>
      <c r="C311" s="27"/>
      <c r="D311" s="6"/>
      <c r="E311" s="75"/>
      <c r="F311" s="75"/>
      <c r="G311" s="76"/>
      <c r="H311" s="43"/>
    </row>
    <row r="312" spans="1:8" s="11" customFormat="1" ht="15" hidden="1" customHeight="1" outlineLevel="3" x14ac:dyDescent="0.2">
      <c r="A312" s="2"/>
      <c r="B312" s="1"/>
      <c r="C312" s="27"/>
      <c r="D312" s="6"/>
      <c r="E312" s="75"/>
      <c r="F312" s="75"/>
      <c r="G312" s="76"/>
      <c r="H312" s="43"/>
    </row>
    <row r="313" spans="1:8" s="11" customFormat="1" ht="15" hidden="1" customHeight="1" outlineLevel="2" collapsed="1" x14ac:dyDescent="0.2">
      <c r="A313" s="2">
        <f>A308+0.01</f>
        <v>2.3399999999999994</v>
      </c>
      <c r="B313" s="1"/>
      <c r="C313" s="27"/>
      <c r="D313" s="6"/>
      <c r="E313" s="75"/>
      <c r="F313" s="75"/>
      <c r="G313" s="76"/>
      <c r="H313" s="43"/>
    </row>
    <row r="314" spans="1:8" s="11" customFormat="1" ht="15" hidden="1" customHeight="1" outlineLevel="3" x14ac:dyDescent="0.2">
      <c r="A314" s="2"/>
      <c r="B314" s="1"/>
      <c r="C314" s="27"/>
      <c r="D314" s="6"/>
      <c r="E314" s="75"/>
      <c r="F314" s="75"/>
      <c r="G314" s="76"/>
      <c r="H314" s="43"/>
    </row>
    <row r="315" spans="1:8" s="11" customFormat="1" ht="15" hidden="1" customHeight="1" outlineLevel="3" x14ac:dyDescent="0.2">
      <c r="A315" s="2"/>
      <c r="B315" s="1"/>
      <c r="C315" s="27"/>
      <c r="D315" s="6"/>
      <c r="E315" s="75"/>
      <c r="F315" s="75"/>
      <c r="G315" s="76"/>
      <c r="H315" s="43"/>
    </row>
    <row r="316" spans="1:8" s="11" customFormat="1" ht="15" hidden="1" customHeight="1" outlineLevel="3" x14ac:dyDescent="0.2">
      <c r="A316" s="2"/>
      <c r="B316" s="1"/>
      <c r="C316" s="27"/>
      <c r="D316" s="6"/>
      <c r="E316" s="75"/>
      <c r="F316" s="75"/>
      <c r="G316" s="76"/>
      <c r="H316" s="43"/>
    </row>
    <row r="317" spans="1:8" s="11" customFormat="1" ht="15" hidden="1" customHeight="1" outlineLevel="3" x14ac:dyDescent="0.2">
      <c r="A317" s="2"/>
      <c r="B317" s="1"/>
      <c r="C317" s="27"/>
      <c r="D317" s="6"/>
      <c r="E317" s="75"/>
      <c r="F317" s="75"/>
      <c r="G317" s="76"/>
      <c r="H317" s="43"/>
    </row>
    <row r="318" spans="1:8" s="11" customFormat="1" ht="15" hidden="1" customHeight="1" outlineLevel="2" collapsed="1" x14ac:dyDescent="0.2">
      <c r="A318" s="106">
        <f>A313+0.01</f>
        <v>2.3499999999999992</v>
      </c>
      <c r="B318" s="107"/>
      <c r="C318" s="27"/>
      <c r="D318" s="6"/>
      <c r="E318" s="75"/>
      <c r="F318" s="77"/>
      <c r="G318" s="76"/>
      <c r="H318" s="43"/>
    </row>
    <row r="319" spans="1:8" s="11" customFormat="1" ht="15" hidden="1" customHeight="1" outlineLevel="3" x14ac:dyDescent="0.2">
      <c r="A319" s="2"/>
      <c r="B319" s="1"/>
      <c r="C319" s="27"/>
      <c r="D319" s="6"/>
      <c r="E319" s="75"/>
      <c r="F319" s="75"/>
      <c r="G319" s="76"/>
      <c r="H319" s="43"/>
    </row>
    <row r="320" spans="1:8" s="11" customFormat="1" ht="15" hidden="1" customHeight="1" outlineLevel="3" x14ac:dyDescent="0.2">
      <c r="A320" s="2"/>
      <c r="B320" s="1"/>
      <c r="C320" s="27"/>
      <c r="D320" s="6"/>
      <c r="E320" s="75"/>
      <c r="F320" s="75"/>
      <c r="G320" s="76"/>
      <c r="H320" s="43"/>
    </row>
    <row r="321" spans="1:8" s="11" customFormat="1" ht="15" hidden="1" customHeight="1" outlineLevel="3" x14ac:dyDescent="0.2">
      <c r="A321" s="2"/>
      <c r="B321" s="1"/>
      <c r="C321" s="27"/>
      <c r="D321" s="6"/>
      <c r="E321" s="75"/>
      <c r="F321" s="75"/>
      <c r="G321" s="76"/>
      <c r="H321" s="43"/>
    </row>
    <row r="322" spans="1:8" s="11" customFormat="1" ht="15" hidden="1" customHeight="1" outlineLevel="3" x14ac:dyDescent="0.2">
      <c r="A322" s="2"/>
      <c r="B322" s="1"/>
      <c r="C322" s="27"/>
      <c r="D322" s="6"/>
      <c r="E322" s="75"/>
      <c r="F322" s="75"/>
      <c r="G322" s="76"/>
      <c r="H322" s="43"/>
    </row>
    <row r="323" spans="1:8" s="11" customFormat="1" ht="15" customHeight="1" outlineLevel="1" x14ac:dyDescent="0.2">
      <c r="A323" s="2">
        <f>A297+0.1</f>
        <v>2.4000000000000004</v>
      </c>
      <c r="B323" s="1"/>
      <c r="C323" s="28" t="s">
        <v>37</v>
      </c>
      <c r="D323" s="5"/>
      <c r="E323" s="72"/>
      <c r="F323" s="10"/>
      <c r="G323" s="73"/>
      <c r="H323" s="74"/>
    </row>
    <row r="324" spans="1:8" s="11" customFormat="1" ht="27.75" customHeight="1" outlineLevel="2" x14ac:dyDescent="0.2">
      <c r="A324" s="106">
        <f>A323+0.01</f>
        <v>2.41</v>
      </c>
      <c r="B324" s="107"/>
      <c r="C324" s="61" t="s">
        <v>123</v>
      </c>
      <c r="D324" s="7"/>
      <c r="E324" s="75"/>
      <c r="F324" s="75"/>
      <c r="G324" s="76"/>
      <c r="H324" s="43"/>
    </row>
    <row r="325" spans="1:8" s="11" customFormat="1" ht="15" customHeight="1" outlineLevel="3" x14ac:dyDescent="0.2">
      <c r="A325" s="2">
        <v>2.411</v>
      </c>
      <c r="B325" s="1"/>
      <c r="C325" s="69" t="s">
        <v>110</v>
      </c>
      <c r="D325" s="7"/>
      <c r="E325" s="75"/>
      <c r="F325" s="75"/>
      <c r="G325" s="76"/>
      <c r="H325" s="43"/>
    </row>
    <row r="326" spans="1:8" s="11" customFormat="1" ht="33.75" outlineLevel="3" x14ac:dyDescent="0.2">
      <c r="A326" s="2"/>
      <c r="B326" s="1"/>
      <c r="C326" s="58" t="s">
        <v>91</v>
      </c>
      <c r="D326" s="6" t="s">
        <v>16</v>
      </c>
      <c r="E326" s="75">
        <v>12</v>
      </c>
      <c r="F326" s="75"/>
      <c r="G326" s="76"/>
      <c r="H326" s="43"/>
    </row>
    <row r="327" spans="1:8" s="11" customFormat="1" ht="15" customHeight="1" outlineLevel="3" x14ac:dyDescent="0.2">
      <c r="A327" s="2">
        <v>2.4119999999999999</v>
      </c>
      <c r="B327" s="1"/>
      <c r="C327" s="69" t="s">
        <v>93</v>
      </c>
      <c r="D327" s="7"/>
      <c r="E327" s="75"/>
      <c r="F327" s="75"/>
      <c r="G327" s="76"/>
      <c r="H327" s="43"/>
    </row>
    <row r="328" spans="1:8" s="11" customFormat="1" ht="22.5" outlineLevel="3" x14ac:dyDescent="0.2">
      <c r="A328" s="2"/>
      <c r="B328" s="1"/>
      <c r="C328" s="58" t="s">
        <v>124</v>
      </c>
      <c r="D328" s="6" t="s">
        <v>16</v>
      </c>
      <c r="E328" s="75">
        <v>6</v>
      </c>
      <c r="F328" s="75"/>
      <c r="G328" s="76"/>
      <c r="H328" s="43"/>
    </row>
    <row r="329" spans="1:8" s="11" customFormat="1" ht="15" customHeight="1" outlineLevel="3" x14ac:dyDescent="0.2">
      <c r="A329" s="2">
        <v>2.4129999999999998</v>
      </c>
      <c r="B329" s="1"/>
      <c r="C329" s="69" t="s">
        <v>94</v>
      </c>
      <c r="D329" s="7"/>
      <c r="E329" s="75"/>
      <c r="F329" s="75"/>
      <c r="G329" s="76"/>
      <c r="H329" s="43"/>
    </row>
    <row r="330" spans="1:8" s="11" customFormat="1" ht="33.75" outlineLevel="3" x14ac:dyDescent="0.2">
      <c r="A330" s="2"/>
      <c r="B330" s="1"/>
      <c r="C330" s="58" t="s">
        <v>95</v>
      </c>
      <c r="D330" s="6" t="s">
        <v>16</v>
      </c>
      <c r="E330" s="75">
        <v>6</v>
      </c>
      <c r="F330" s="75"/>
      <c r="G330" s="76"/>
      <c r="H330" s="43"/>
    </row>
    <row r="331" spans="1:8" s="11" customFormat="1" ht="33.75" outlineLevel="3" x14ac:dyDescent="0.2">
      <c r="A331" s="2"/>
      <c r="B331" s="1"/>
      <c r="C331" s="58" t="s">
        <v>96</v>
      </c>
      <c r="D331" s="6" t="s">
        <v>16</v>
      </c>
      <c r="E331" s="75">
        <f>E330</f>
        <v>6</v>
      </c>
      <c r="F331" s="75"/>
      <c r="G331" s="76"/>
      <c r="H331" s="43"/>
    </row>
    <row r="332" spans="1:8" s="11" customFormat="1" ht="45" outlineLevel="3" x14ac:dyDescent="0.2">
      <c r="A332" s="2"/>
      <c r="B332" s="1"/>
      <c r="C332" s="58" t="s">
        <v>134</v>
      </c>
      <c r="D332" s="6" t="s">
        <v>16</v>
      </c>
      <c r="E332" s="75">
        <f>E330</f>
        <v>6</v>
      </c>
      <c r="F332" s="75"/>
      <c r="G332" s="76"/>
      <c r="H332" s="43"/>
    </row>
    <row r="333" spans="1:8" s="11" customFormat="1" ht="15" customHeight="1" outlineLevel="3" x14ac:dyDescent="0.2">
      <c r="A333" s="2">
        <v>2.4140000000000001</v>
      </c>
      <c r="B333" s="1"/>
      <c r="C333" s="69" t="s">
        <v>98</v>
      </c>
      <c r="D333" s="7"/>
      <c r="E333" s="75"/>
      <c r="F333" s="75"/>
      <c r="G333" s="76"/>
      <c r="H333" s="43"/>
    </row>
    <row r="334" spans="1:8" s="11" customFormat="1" ht="33.75" outlineLevel="3" x14ac:dyDescent="0.2">
      <c r="A334" s="2"/>
      <c r="B334" s="1"/>
      <c r="C334" s="58" t="s">
        <v>99</v>
      </c>
      <c r="D334" s="6" t="s">
        <v>16</v>
      </c>
      <c r="E334" s="75">
        <v>6</v>
      </c>
      <c r="F334" s="75"/>
      <c r="G334" s="76"/>
      <c r="H334" s="43"/>
    </row>
    <row r="335" spans="1:8" s="11" customFormat="1" ht="33.75" outlineLevel="3" x14ac:dyDescent="0.2">
      <c r="A335" s="2"/>
      <c r="B335" s="1"/>
      <c r="C335" s="58" t="s">
        <v>100</v>
      </c>
      <c r="D335" s="6" t="s">
        <v>16</v>
      </c>
      <c r="E335" s="75">
        <f>E334</f>
        <v>6</v>
      </c>
      <c r="F335" s="75"/>
      <c r="G335" s="76"/>
      <c r="H335" s="43"/>
    </row>
    <row r="336" spans="1:8" s="11" customFormat="1" ht="33.75" outlineLevel="3" x14ac:dyDescent="0.2">
      <c r="A336" s="2"/>
      <c r="B336" s="1"/>
      <c r="C336" s="58" t="s">
        <v>97</v>
      </c>
      <c r="D336" s="6" t="s">
        <v>16</v>
      </c>
      <c r="E336" s="75">
        <f>E334</f>
        <v>6</v>
      </c>
      <c r="F336" s="75"/>
      <c r="G336" s="76"/>
      <c r="H336" s="43"/>
    </row>
    <row r="337" spans="1:8" s="11" customFormat="1" ht="15" customHeight="1" outlineLevel="3" x14ac:dyDescent="0.2">
      <c r="A337" s="2">
        <v>2.415</v>
      </c>
      <c r="B337" s="1"/>
      <c r="C337" s="69" t="s">
        <v>101</v>
      </c>
      <c r="D337" s="7"/>
      <c r="E337" s="75"/>
      <c r="F337" s="75"/>
      <c r="G337" s="76"/>
      <c r="H337" s="43"/>
    </row>
    <row r="338" spans="1:8" s="11" customFormat="1" ht="45" outlineLevel="3" x14ac:dyDescent="0.2">
      <c r="A338" s="2"/>
      <c r="B338" s="1"/>
      <c r="C338" s="58" t="s">
        <v>102</v>
      </c>
      <c r="D338" s="6" t="s">
        <v>16</v>
      </c>
      <c r="E338" s="75">
        <v>12</v>
      </c>
      <c r="F338" s="75"/>
      <c r="G338" s="76"/>
      <c r="H338" s="43"/>
    </row>
    <row r="339" spans="1:8" s="11" customFormat="1" ht="33.75" outlineLevel="3" x14ac:dyDescent="0.2">
      <c r="A339" s="2"/>
      <c r="B339" s="1"/>
      <c r="C339" s="58" t="s">
        <v>92</v>
      </c>
      <c r="D339" s="6" t="s">
        <v>16</v>
      </c>
      <c r="E339" s="75">
        <f>E338</f>
        <v>12</v>
      </c>
      <c r="F339" s="75"/>
      <c r="G339" s="76"/>
      <c r="H339" s="43"/>
    </row>
    <row r="340" spans="1:8" s="11" customFormat="1" ht="33.75" outlineLevel="3" x14ac:dyDescent="0.2">
      <c r="A340" s="2"/>
      <c r="B340" s="1"/>
      <c r="C340" s="58" t="s">
        <v>103</v>
      </c>
      <c r="D340" s="6" t="s">
        <v>16</v>
      </c>
      <c r="E340" s="75">
        <f>E338</f>
        <v>12</v>
      </c>
      <c r="F340" s="75"/>
      <c r="G340" s="76"/>
      <c r="H340" s="43"/>
    </row>
    <row r="341" spans="1:8" s="11" customFormat="1" ht="15" customHeight="1" outlineLevel="3" x14ac:dyDescent="0.2">
      <c r="A341" s="2">
        <v>2.4159999999999999</v>
      </c>
      <c r="B341" s="1"/>
      <c r="C341" s="69" t="s">
        <v>104</v>
      </c>
      <c r="D341" s="7"/>
      <c r="E341" s="75"/>
      <c r="F341" s="75"/>
      <c r="G341" s="76"/>
      <c r="H341" s="43"/>
    </row>
    <row r="342" spans="1:8" s="11" customFormat="1" ht="22.5" outlineLevel="3" x14ac:dyDescent="0.2">
      <c r="A342" s="2"/>
      <c r="B342" s="1"/>
      <c r="C342" s="56" t="s">
        <v>107</v>
      </c>
      <c r="D342" s="6" t="s">
        <v>16</v>
      </c>
      <c r="E342" s="75">
        <v>12</v>
      </c>
      <c r="F342" s="75"/>
      <c r="G342" s="76"/>
      <c r="H342" s="43"/>
    </row>
    <row r="343" spans="1:8" s="11" customFormat="1" ht="15" customHeight="1" outlineLevel="3" x14ac:dyDescent="0.2">
      <c r="A343" s="2">
        <v>2.4169999999999998</v>
      </c>
      <c r="B343" s="1"/>
      <c r="C343" s="69" t="s">
        <v>105</v>
      </c>
      <c r="D343" s="7"/>
      <c r="E343" s="75"/>
      <c r="F343" s="75"/>
      <c r="G343" s="76"/>
      <c r="H343" s="43"/>
    </row>
    <row r="344" spans="1:8" s="11" customFormat="1" ht="22.5" outlineLevel="3" x14ac:dyDescent="0.2">
      <c r="A344" s="2"/>
      <c r="B344" s="1"/>
      <c r="C344" s="56" t="s">
        <v>108</v>
      </c>
      <c r="D344" s="6" t="s">
        <v>16</v>
      </c>
      <c r="E344" s="75">
        <f>E326+E338</f>
        <v>24</v>
      </c>
      <c r="F344" s="75"/>
      <c r="G344" s="76"/>
      <c r="H344" s="43"/>
    </row>
    <row r="345" spans="1:8" s="11" customFormat="1" ht="15" customHeight="1" outlineLevel="3" x14ac:dyDescent="0.2">
      <c r="A345" s="2">
        <v>2.4180000000000001</v>
      </c>
      <c r="B345" s="1"/>
      <c r="C345" s="69" t="s">
        <v>106</v>
      </c>
      <c r="D345" s="7"/>
      <c r="E345" s="75"/>
      <c r="F345" s="75"/>
      <c r="G345" s="76"/>
      <c r="H345" s="43"/>
    </row>
    <row r="346" spans="1:8" s="11" customFormat="1" ht="22.5" outlineLevel="3" x14ac:dyDescent="0.2">
      <c r="A346" s="2"/>
      <c r="B346" s="1"/>
      <c r="C346" s="58" t="s">
        <v>109</v>
      </c>
      <c r="D346" s="6" t="s">
        <v>16</v>
      </c>
      <c r="E346" s="75">
        <v>6</v>
      </c>
      <c r="F346" s="75"/>
      <c r="G346" s="76"/>
      <c r="H346" s="43"/>
    </row>
    <row r="347" spans="1:8" s="11" customFormat="1" ht="22.5" customHeight="1" outlineLevel="2" x14ac:dyDescent="0.2">
      <c r="A347" s="106">
        <f>A324+0.01</f>
        <v>2.42</v>
      </c>
      <c r="B347" s="107"/>
      <c r="C347" s="61" t="s">
        <v>125</v>
      </c>
      <c r="D347" s="7"/>
      <c r="E347" s="75"/>
      <c r="F347" s="75"/>
      <c r="G347" s="76"/>
      <c r="H347" s="43"/>
    </row>
    <row r="348" spans="1:8" s="11" customFormat="1" ht="15" customHeight="1" outlineLevel="3" x14ac:dyDescent="0.2">
      <c r="A348" s="2">
        <v>2.4209999999999998</v>
      </c>
      <c r="B348" s="1"/>
      <c r="C348" s="69" t="s">
        <v>110</v>
      </c>
      <c r="D348" s="7"/>
      <c r="E348" s="75"/>
      <c r="F348" s="75"/>
      <c r="G348" s="76"/>
      <c r="H348" s="43"/>
    </row>
    <row r="349" spans="1:8" s="11" customFormat="1" ht="33.75" outlineLevel="3" x14ac:dyDescent="0.2">
      <c r="A349" s="2"/>
      <c r="B349" s="1"/>
      <c r="C349" s="58" t="s">
        <v>91</v>
      </c>
      <c r="D349" s="6" t="s">
        <v>16</v>
      </c>
      <c r="E349" s="75">
        <f>24-E350</f>
        <v>6</v>
      </c>
      <c r="F349" s="75"/>
      <c r="G349" s="76"/>
      <c r="H349" s="43"/>
    </row>
    <row r="350" spans="1:8" s="11" customFormat="1" ht="45" outlineLevel="3" x14ac:dyDescent="0.2">
      <c r="A350" s="2">
        <v>2.4220000000000002</v>
      </c>
      <c r="B350" s="1"/>
      <c r="C350" s="58" t="s">
        <v>126</v>
      </c>
      <c r="D350" s="6" t="s">
        <v>16</v>
      </c>
      <c r="E350" s="75">
        <v>18</v>
      </c>
      <c r="F350" s="75"/>
      <c r="G350" s="76"/>
      <c r="H350" s="43"/>
    </row>
    <row r="351" spans="1:8" s="11" customFormat="1" ht="33.75" outlineLevel="3" x14ac:dyDescent="0.2">
      <c r="A351" s="2">
        <v>2.423</v>
      </c>
      <c r="B351" s="1"/>
      <c r="C351" s="58" t="s">
        <v>127</v>
      </c>
      <c r="D351" s="6" t="s">
        <v>16</v>
      </c>
      <c r="E351" s="75">
        <v>12</v>
      </c>
      <c r="F351" s="75"/>
      <c r="G351" s="76"/>
      <c r="H351" s="43"/>
    </row>
    <row r="352" spans="1:8" s="11" customFormat="1" ht="33.75" outlineLevel="3" x14ac:dyDescent="0.2">
      <c r="A352" s="2"/>
      <c r="B352" s="1"/>
      <c r="C352" s="58" t="s">
        <v>128</v>
      </c>
      <c r="D352" s="6" t="s">
        <v>16</v>
      </c>
      <c r="E352" s="75">
        <f>E351</f>
        <v>12</v>
      </c>
      <c r="F352" s="75"/>
      <c r="G352" s="76"/>
      <c r="H352" s="43"/>
    </row>
    <row r="353" spans="1:8" s="11" customFormat="1" ht="15" customHeight="1" outlineLevel="3" x14ac:dyDescent="0.2">
      <c r="A353" s="2">
        <v>2.4239999999999999</v>
      </c>
      <c r="B353" s="1"/>
      <c r="C353" s="69" t="s">
        <v>93</v>
      </c>
      <c r="D353" s="7"/>
      <c r="E353" s="75"/>
      <c r="F353" s="75"/>
      <c r="G353" s="76"/>
      <c r="H353" s="43"/>
    </row>
    <row r="354" spans="1:8" s="11" customFormat="1" ht="22.5" outlineLevel="3" x14ac:dyDescent="0.2">
      <c r="A354" s="2"/>
      <c r="B354" s="1"/>
      <c r="C354" s="58" t="s">
        <v>124</v>
      </c>
      <c r="D354" s="6" t="s">
        <v>16</v>
      </c>
      <c r="E354" s="75">
        <v>12</v>
      </c>
      <c r="F354" s="75"/>
      <c r="G354" s="76"/>
      <c r="H354" s="43"/>
    </row>
    <row r="355" spans="1:8" s="11" customFormat="1" ht="15" customHeight="1" outlineLevel="3" x14ac:dyDescent="0.2">
      <c r="A355" s="2">
        <v>2.4249999999999998</v>
      </c>
      <c r="B355" s="1"/>
      <c r="C355" s="69" t="s">
        <v>94</v>
      </c>
      <c r="D355" s="7"/>
      <c r="E355" s="75"/>
      <c r="F355" s="75"/>
      <c r="G355" s="76"/>
      <c r="H355" s="43"/>
    </row>
    <row r="356" spans="1:8" s="11" customFormat="1" ht="33.75" outlineLevel="3" x14ac:dyDescent="0.2">
      <c r="A356" s="2"/>
      <c r="B356" s="1"/>
      <c r="C356" s="58" t="s">
        <v>95</v>
      </c>
      <c r="D356" s="6" t="s">
        <v>16</v>
      </c>
      <c r="E356" s="75">
        <v>10</v>
      </c>
      <c r="F356" s="75"/>
      <c r="G356" s="76"/>
      <c r="H356" s="43"/>
    </row>
    <row r="357" spans="1:8" s="11" customFormat="1" ht="33.75" outlineLevel="3" x14ac:dyDescent="0.2">
      <c r="A357" s="2"/>
      <c r="B357" s="1"/>
      <c r="C357" s="58" t="s">
        <v>96</v>
      </c>
      <c r="D357" s="6" t="s">
        <v>16</v>
      </c>
      <c r="E357" s="75">
        <f>E356</f>
        <v>10</v>
      </c>
      <c r="F357" s="75"/>
      <c r="G357" s="76"/>
      <c r="H357" s="43"/>
    </row>
    <row r="358" spans="1:8" s="11" customFormat="1" ht="45" outlineLevel="3" x14ac:dyDescent="0.2">
      <c r="A358" s="2"/>
      <c r="B358" s="1"/>
      <c r="C358" s="58" t="s">
        <v>134</v>
      </c>
      <c r="D358" s="6" t="s">
        <v>16</v>
      </c>
      <c r="E358" s="75">
        <f>E356</f>
        <v>10</v>
      </c>
      <c r="F358" s="75"/>
      <c r="G358" s="76"/>
      <c r="H358" s="43"/>
    </row>
    <row r="359" spans="1:8" s="11" customFormat="1" ht="15" customHeight="1" outlineLevel="3" x14ac:dyDescent="0.2">
      <c r="A359" s="2">
        <v>2.4260000000000002</v>
      </c>
      <c r="B359" s="1"/>
      <c r="C359" s="69" t="s">
        <v>98</v>
      </c>
      <c r="D359" s="7"/>
      <c r="E359" s="75"/>
      <c r="F359" s="75"/>
      <c r="G359" s="76"/>
      <c r="H359" s="43"/>
    </row>
    <row r="360" spans="1:8" s="11" customFormat="1" ht="33.75" outlineLevel="3" x14ac:dyDescent="0.2">
      <c r="A360" s="2"/>
      <c r="B360" s="1"/>
      <c r="C360" s="58" t="s">
        <v>99</v>
      </c>
      <c r="D360" s="6" t="s">
        <v>16</v>
      </c>
      <c r="E360" s="75">
        <v>12</v>
      </c>
      <c r="F360" s="75"/>
      <c r="G360" s="76"/>
      <c r="H360" s="43"/>
    </row>
    <row r="361" spans="1:8" s="11" customFormat="1" ht="33.75" outlineLevel="3" x14ac:dyDescent="0.2">
      <c r="A361" s="2"/>
      <c r="B361" s="1"/>
      <c r="C361" s="58" t="s">
        <v>130</v>
      </c>
      <c r="D361" s="6" t="s">
        <v>16</v>
      </c>
      <c r="E361" s="75">
        <f>E360</f>
        <v>12</v>
      </c>
      <c r="F361" s="75"/>
      <c r="G361" s="76"/>
      <c r="H361" s="43"/>
    </row>
    <row r="362" spans="1:8" s="11" customFormat="1" ht="33.75" outlineLevel="3" x14ac:dyDescent="0.2">
      <c r="A362" s="2"/>
      <c r="B362" s="1"/>
      <c r="C362" s="58" t="s">
        <v>97</v>
      </c>
      <c r="D362" s="6" t="s">
        <v>16</v>
      </c>
      <c r="E362" s="75">
        <f>E360</f>
        <v>12</v>
      </c>
      <c r="F362" s="75"/>
      <c r="G362" s="76"/>
      <c r="H362" s="43"/>
    </row>
    <row r="363" spans="1:8" s="11" customFormat="1" ht="15" customHeight="1" outlineLevel="3" x14ac:dyDescent="0.2">
      <c r="A363" s="2">
        <v>2.427</v>
      </c>
      <c r="B363" s="1"/>
      <c r="C363" s="69" t="s">
        <v>111</v>
      </c>
      <c r="D363" s="7"/>
      <c r="E363" s="75"/>
      <c r="F363" s="75"/>
      <c r="G363" s="76"/>
      <c r="H363" s="43"/>
    </row>
    <row r="364" spans="1:8" s="11" customFormat="1" ht="33.75" outlineLevel="3" x14ac:dyDescent="0.2">
      <c r="A364" s="4"/>
      <c r="B364" s="3"/>
      <c r="C364" s="58" t="s">
        <v>129</v>
      </c>
      <c r="D364" s="6" t="s">
        <v>16</v>
      </c>
      <c r="E364" s="75">
        <v>2</v>
      </c>
      <c r="F364" s="75"/>
      <c r="G364" s="76"/>
      <c r="H364" s="43"/>
    </row>
    <row r="365" spans="1:8" s="11" customFormat="1" ht="33.75" outlineLevel="3" x14ac:dyDescent="0.2">
      <c r="A365" s="2"/>
      <c r="B365" s="1"/>
      <c r="C365" s="58" t="s">
        <v>130</v>
      </c>
      <c r="D365" s="6" t="s">
        <v>16</v>
      </c>
      <c r="E365" s="75">
        <f>E364</f>
        <v>2</v>
      </c>
      <c r="F365" s="75"/>
      <c r="G365" s="76"/>
      <c r="H365" s="43"/>
    </row>
    <row r="366" spans="1:8" s="11" customFormat="1" ht="33.75" outlineLevel="3" x14ac:dyDescent="0.2">
      <c r="A366" s="2"/>
      <c r="B366" s="1"/>
      <c r="C366" s="58" t="s">
        <v>97</v>
      </c>
      <c r="D366" s="6" t="s">
        <v>16</v>
      </c>
      <c r="E366" s="75">
        <f>E364</f>
        <v>2</v>
      </c>
      <c r="F366" s="75"/>
      <c r="G366" s="76"/>
      <c r="H366" s="43"/>
    </row>
    <row r="367" spans="1:8" s="11" customFormat="1" ht="15" customHeight="1" outlineLevel="3" x14ac:dyDescent="0.2">
      <c r="A367" s="2">
        <v>2.4279999999999999</v>
      </c>
      <c r="B367" s="1"/>
      <c r="C367" s="69" t="s">
        <v>101</v>
      </c>
      <c r="D367" s="7"/>
      <c r="E367" s="75"/>
      <c r="F367" s="75"/>
      <c r="G367" s="76"/>
      <c r="H367" s="43"/>
    </row>
    <row r="368" spans="1:8" s="11" customFormat="1" ht="45" outlineLevel="3" x14ac:dyDescent="0.2">
      <c r="A368" s="2"/>
      <c r="B368" s="1"/>
      <c r="C368" s="58" t="s">
        <v>112</v>
      </c>
      <c r="D368" s="6" t="s">
        <v>16</v>
      </c>
      <c r="E368" s="75">
        <v>24</v>
      </c>
      <c r="F368" s="75"/>
      <c r="G368" s="76"/>
      <c r="H368" s="43"/>
    </row>
    <row r="369" spans="1:8" s="11" customFormat="1" ht="33.75" outlineLevel="3" x14ac:dyDescent="0.2">
      <c r="A369" s="2"/>
      <c r="B369" s="1"/>
      <c r="C369" s="58" t="s">
        <v>92</v>
      </c>
      <c r="D369" s="6" t="s">
        <v>16</v>
      </c>
      <c r="E369" s="75">
        <f>E368</f>
        <v>24</v>
      </c>
      <c r="F369" s="75"/>
      <c r="G369" s="76"/>
      <c r="H369" s="43"/>
    </row>
    <row r="370" spans="1:8" s="11" customFormat="1" ht="33.75" outlineLevel="3" x14ac:dyDescent="0.2">
      <c r="A370" s="2"/>
      <c r="B370" s="1"/>
      <c r="C370" s="58" t="s">
        <v>103</v>
      </c>
      <c r="D370" s="6" t="s">
        <v>16</v>
      </c>
      <c r="E370" s="75">
        <f>E368</f>
        <v>24</v>
      </c>
      <c r="F370" s="75"/>
      <c r="G370" s="76"/>
      <c r="H370" s="43"/>
    </row>
    <row r="371" spans="1:8" s="11" customFormat="1" ht="15" customHeight="1" outlineLevel="3" x14ac:dyDescent="0.2">
      <c r="A371" s="2">
        <v>2.4260000000000002</v>
      </c>
      <c r="B371" s="1"/>
      <c r="C371" s="69" t="s">
        <v>104</v>
      </c>
      <c r="D371" s="7"/>
      <c r="E371" s="75"/>
      <c r="F371" s="75"/>
      <c r="G371" s="76"/>
      <c r="H371" s="43"/>
    </row>
    <row r="372" spans="1:8" s="11" customFormat="1" ht="22.5" outlineLevel="3" x14ac:dyDescent="0.2">
      <c r="A372" s="2"/>
      <c r="B372" s="1"/>
      <c r="C372" s="56" t="s">
        <v>107</v>
      </c>
      <c r="D372" s="6" t="s">
        <v>16</v>
      </c>
      <c r="E372" s="75">
        <v>24</v>
      </c>
      <c r="F372" s="75"/>
      <c r="G372" s="76"/>
      <c r="H372" s="43"/>
    </row>
    <row r="373" spans="1:8" s="11" customFormat="1" ht="15" customHeight="1" outlineLevel="3" x14ac:dyDescent="0.2">
      <c r="A373" s="2">
        <v>2.427</v>
      </c>
      <c r="B373" s="1"/>
      <c r="C373" s="69" t="s">
        <v>105</v>
      </c>
      <c r="D373" s="7"/>
      <c r="E373" s="75"/>
      <c r="F373" s="75"/>
      <c r="G373" s="76"/>
      <c r="H373" s="43"/>
    </row>
    <row r="374" spans="1:8" s="11" customFormat="1" ht="22.5" outlineLevel="3" x14ac:dyDescent="0.2">
      <c r="A374" s="2"/>
      <c r="B374" s="1"/>
      <c r="C374" s="56" t="s">
        <v>108</v>
      </c>
      <c r="D374" s="6" t="s">
        <v>16</v>
      </c>
      <c r="E374" s="75">
        <f>E349+E351+E368</f>
        <v>42</v>
      </c>
      <c r="F374" s="75"/>
      <c r="G374" s="76"/>
      <c r="H374" s="43"/>
    </row>
    <row r="375" spans="1:8" s="11" customFormat="1" ht="15" customHeight="1" outlineLevel="3" x14ac:dyDescent="0.2">
      <c r="A375" s="2">
        <v>2.4279999999999999</v>
      </c>
      <c r="B375" s="1"/>
      <c r="C375" s="69" t="s">
        <v>106</v>
      </c>
      <c r="D375" s="7"/>
      <c r="E375" s="75"/>
      <c r="F375" s="75"/>
      <c r="G375" s="76"/>
      <c r="H375" s="43"/>
    </row>
    <row r="376" spans="1:8" s="11" customFormat="1" ht="22.5" outlineLevel="3" x14ac:dyDescent="0.2">
      <c r="A376" s="2"/>
      <c r="B376" s="1"/>
      <c r="C376" s="58" t="s">
        <v>109</v>
      </c>
      <c r="D376" s="6" t="s">
        <v>16</v>
      </c>
      <c r="E376" s="75">
        <v>12</v>
      </c>
      <c r="F376" s="75"/>
      <c r="G376" s="76"/>
      <c r="H376" s="43"/>
    </row>
    <row r="377" spans="1:8" s="11" customFormat="1" ht="15" hidden="1" customHeight="1" outlineLevel="3" x14ac:dyDescent="0.2">
      <c r="A377" s="2"/>
      <c r="B377" s="1"/>
      <c r="C377" s="27"/>
      <c r="D377" s="6"/>
      <c r="E377" s="7"/>
      <c r="F377" s="7"/>
      <c r="G377" s="31"/>
      <c r="H377" s="43"/>
    </row>
    <row r="378" spans="1:8" s="11" customFormat="1" ht="15" hidden="1" customHeight="1" outlineLevel="2" collapsed="1" thickBot="1" x14ac:dyDescent="0.25">
      <c r="A378" s="106">
        <f>A347+0.01</f>
        <v>2.4299999999999997</v>
      </c>
      <c r="B378" s="107"/>
      <c r="C378" s="27"/>
      <c r="D378" s="6"/>
      <c r="E378" s="7"/>
      <c r="F378" s="7"/>
      <c r="G378" s="31"/>
      <c r="H378" s="43"/>
    </row>
    <row r="379" spans="1:8" s="11" customFormat="1" ht="15" hidden="1" customHeight="1" outlineLevel="3" thickBot="1" x14ac:dyDescent="0.25">
      <c r="A379" s="2"/>
      <c r="B379" s="1"/>
      <c r="C379" s="27"/>
      <c r="D379" s="6"/>
      <c r="E379" s="7"/>
      <c r="F379" s="7"/>
      <c r="G379" s="31"/>
      <c r="H379" s="43"/>
    </row>
    <row r="380" spans="1:8" s="11" customFormat="1" ht="15" hidden="1" customHeight="1" outlineLevel="3" thickBot="1" x14ac:dyDescent="0.25">
      <c r="A380" s="2"/>
      <c r="B380" s="1"/>
      <c r="C380" s="27"/>
      <c r="D380" s="6"/>
      <c r="E380" s="7"/>
      <c r="F380" s="7"/>
      <c r="G380" s="31"/>
      <c r="H380" s="43"/>
    </row>
    <row r="381" spans="1:8" s="11" customFormat="1" ht="15" hidden="1" customHeight="1" outlineLevel="3" thickBot="1" x14ac:dyDescent="0.25">
      <c r="A381" s="2"/>
      <c r="B381" s="1"/>
      <c r="C381" s="27"/>
      <c r="D381" s="6"/>
      <c r="E381" s="7"/>
      <c r="F381" s="7"/>
      <c r="G381" s="31"/>
      <c r="H381" s="43"/>
    </row>
    <row r="382" spans="1:8" s="11" customFormat="1" ht="15" hidden="1" customHeight="1" outlineLevel="3" thickBot="1" x14ac:dyDescent="0.25">
      <c r="A382" s="2"/>
      <c r="B382" s="1"/>
      <c r="C382" s="27"/>
      <c r="D382" s="6"/>
      <c r="E382" s="7"/>
      <c r="F382" s="7"/>
      <c r="G382" s="31"/>
      <c r="H382" s="43"/>
    </row>
    <row r="383" spans="1:8" s="11" customFormat="1" ht="15" hidden="1" customHeight="1" outlineLevel="2" collapsed="1" thickBot="1" x14ac:dyDescent="0.25">
      <c r="A383" s="2">
        <f>A378+0.01</f>
        <v>2.4399999999999995</v>
      </c>
      <c r="B383" s="1"/>
      <c r="C383" s="27"/>
      <c r="D383" s="6"/>
      <c r="E383" s="7"/>
      <c r="F383" s="7"/>
      <c r="G383" s="31"/>
      <c r="H383" s="43"/>
    </row>
    <row r="384" spans="1:8" s="11" customFormat="1" ht="15" hidden="1" customHeight="1" outlineLevel="3" thickBot="1" x14ac:dyDescent="0.25">
      <c r="A384" s="2"/>
      <c r="B384" s="1"/>
      <c r="C384" s="27"/>
      <c r="D384" s="6"/>
      <c r="E384" s="7"/>
      <c r="F384" s="7"/>
      <c r="G384" s="31"/>
      <c r="H384" s="43"/>
    </row>
    <row r="385" spans="1:8" s="11" customFormat="1" ht="15" hidden="1" customHeight="1" outlineLevel="3" thickBot="1" x14ac:dyDescent="0.25">
      <c r="A385" s="2"/>
      <c r="B385" s="1"/>
      <c r="C385" s="27"/>
      <c r="D385" s="6"/>
      <c r="E385" s="7"/>
      <c r="F385" s="7"/>
      <c r="G385" s="31"/>
      <c r="H385" s="43"/>
    </row>
    <row r="386" spans="1:8" s="11" customFormat="1" ht="15" hidden="1" customHeight="1" outlineLevel="3" thickBot="1" x14ac:dyDescent="0.25">
      <c r="A386" s="2"/>
      <c r="B386" s="1"/>
      <c r="C386" s="27"/>
      <c r="D386" s="6"/>
      <c r="E386" s="7"/>
      <c r="F386" s="7"/>
      <c r="G386" s="31"/>
      <c r="H386" s="43"/>
    </row>
    <row r="387" spans="1:8" s="11" customFormat="1" ht="15" hidden="1" customHeight="1" outlineLevel="3" thickBot="1" x14ac:dyDescent="0.25">
      <c r="A387" s="2"/>
      <c r="B387" s="1"/>
      <c r="C387" s="27"/>
      <c r="D387" s="6"/>
      <c r="E387" s="7"/>
      <c r="F387" s="7"/>
      <c r="G387" s="31"/>
      <c r="H387" s="43"/>
    </row>
    <row r="388" spans="1:8" s="11" customFormat="1" ht="15" hidden="1" customHeight="1" outlineLevel="2" collapsed="1" thickBot="1" x14ac:dyDescent="0.25">
      <c r="A388" s="106">
        <f>A383+0.01</f>
        <v>2.4499999999999993</v>
      </c>
      <c r="B388" s="107"/>
      <c r="C388" s="27"/>
      <c r="D388" s="6"/>
      <c r="E388" s="7"/>
      <c r="F388" s="30"/>
      <c r="G388" s="31"/>
      <c r="H388" s="43"/>
    </row>
    <row r="389" spans="1:8" s="11" customFormat="1" ht="15" hidden="1" customHeight="1" outlineLevel="3" thickBot="1" x14ac:dyDescent="0.25">
      <c r="A389" s="2"/>
      <c r="B389" s="1"/>
      <c r="C389" s="27"/>
      <c r="D389" s="6"/>
      <c r="E389" s="7"/>
      <c r="F389" s="7"/>
      <c r="G389" s="31"/>
      <c r="H389" s="43"/>
    </row>
    <row r="390" spans="1:8" s="11" customFormat="1" ht="15" hidden="1" customHeight="1" outlineLevel="3" thickBot="1" x14ac:dyDescent="0.25">
      <c r="A390" s="2"/>
      <c r="B390" s="1"/>
      <c r="C390" s="27"/>
      <c r="D390" s="6"/>
      <c r="E390" s="7"/>
      <c r="F390" s="7"/>
      <c r="G390" s="31"/>
      <c r="H390" s="43"/>
    </row>
    <row r="391" spans="1:8" s="11" customFormat="1" ht="15" hidden="1" customHeight="1" outlineLevel="3" thickBot="1" x14ac:dyDescent="0.25">
      <c r="A391" s="2"/>
      <c r="B391" s="1"/>
      <c r="C391" s="27"/>
      <c r="D391" s="6"/>
      <c r="E391" s="7"/>
      <c r="F391" s="7"/>
      <c r="G391" s="31"/>
      <c r="H391" s="43"/>
    </row>
    <row r="392" spans="1:8" s="11" customFormat="1" ht="15" hidden="1" customHeight="1" outlineLevel="3" thickBot="1" x14ac:dyDescent="0.25">
      <c r="A392" s="2"/>
      <c r="B392" s="1"/>
      <c r="C392" s="27"/>
      <c r="D392" s="6"/>
      <c r="E392" s="7"/>
      <c r="F392" s="7"/>
      <c r="G392" s="31"/>
      <c r="H392" s="43"/>
    </row>
    <row r="393" spans="1:8" s="11" customFormat="1" ht="15" hidden="1" customHeight="1" outlineLevel="1" collapsed="1" thickBot="1" x14ac:dyDescent="0.25">
      <c r="A393" s="2">
        <f>A323+0.1</f>
        <v>2.5000000000000004</v>
      </c>
      <c r="B393" s="1"/>
      <c r="C393" s="28"/>
      <c r="D393" s="5"/>
      <c r="E393" s="9"/>
      <c r="F393" s="10"/>
      <c r="G393" s="37"/>
      <c r="H393" s="36"/>
    </row>
    <row r="394" spans="1:8" s="11" customFormat="1" ht="15" hidden="1" customHeight="1" outlineLevel="2" collapsed="1" thickBot="1" x14ac:dyDescent="0.25">
      <c r="A394" s="106">
        <f>A393+0.01</f>
        <v>2.5100000000000002</v>
      </c>
      <c r="B394" s="107"/>
      <c r="C394" s="27"/>
      <c r="D394" s="6"/>
      <c r="E394" s="7"/>
      <c r="F394" s="7"/>
      <c r="G394" s="31"/>
      <c r="H394" s="43"/>
    </row>
    <row r="395" spans="1:8" s="11" customFormat="1" ht="15" hidden="1" customHeight="1" outlineLevel="3" thickBot="1" x14ac:dyDescent="0.25">
      <c r="A395" s="2"/>
      <c r="B395" s="1"/>
      <c r="C395" s="27"/>
      <c r="D395" s="6"/>
      <c r="E395" s="7"/>
      <c r="F395" s="7"/>
      <c r="G395" s="31"/>
      <c r="H395" s="43"/>
    </row>
    <row r="396" spans="1:8" s="11" customFormat="1" ht="15" hidden="1" customHeight="1" outlineLevel="3" thickBot="1" x14ac:dyDescent="0.25">
      <c r="A396" s="2"/>
      <c r="B396" s="1"/>
      <c r="C396" s="27"/>
      <c r="D396" s="6"/>
      <c r="E396" s="7"/>
      <c r="F396" s="7"/>
      <c r="G396" s="31"/>
      <c r="H396" s="43"/>
    </row>
    <row r="397" spans="1:8" s="11" customFormat="1" ht="15" hidden="1" customHeight="1" outlineLevel="3" thickBot="1" x14ac:dyDescent="0.25">
      <c r="A397" s="2"/>
      <c r="B397" s="1"/>
      <c r="C397" s="27"/>
      <c r="D397" s="6"/>
      <c r="E397" s="7"/>
      <c r="F397" s="7"/>
      <c r="G397" s="31"/>
      <c r="H397" s="43"/>
    </row>
    <row r="398" spans="1:8" s="11" customFormat="1" ht="15" hidden="1" customHeight="1" outlineLevel="3" thickBot="1" x14ac:dyDescent="0.25">
      <c r="A398" s="2"/>
      <c r="B398" s="1"/>
      <c r="C398" s="27"/>
      <c r="D398" s="6"/>
      <c r="E398" s="7"/>
      <c r="F398" s="7"/>
      <c r="G398" s="31"/>
      <c r="H398" s="43"/>
    </row>
    <row r="399" spans="1:8" s="11" customFormat="1" ht="15" hidden="1" customHeight="1" outlineLevel="2" collapsed="1" thickBot="1" x14ac:dyDescent="0.25">
      <c r="A399" s="106">
        <f>A394+0.01</f>
        <v>2.52</v>
      </c>
      <c r="B399" s="107"/>
      <c r="C399" s="27"/>
      <c r="D399" s="6"/>
      <c r="E399" s="7"/>
      <c r="F399" s="7"/>
      <c r="G399" s="31"/>
      <c r="H399" s="43"/>
    </row>
    <row r="400" spans="1:8" s="11" customFormat="1" ht="15" hidden="1" customHeight="1" outlineLevel="3" thickBot="1" x14ac:dyDescent="0.25">
      <c r="A400" s="2"/>
      <c r="B400" s="1"/>
      <c r="C400" s="27"/>
      <c r="D400" s="6"/>
      <c r="E400" s="7"/>
      <c r="F400" s="7"/>
      <c r="G400" s="31"/>
      <c r="H400" s="43"/>
    </row>
    <row r="401" spans="1:8" s="11" customFormat="1" ht="15" hidden="1" customHeight="1" outlineLevel="3" thickBot="1" x14ac:dyDescent="0.25">
      <c r="A401" s="2"/>
      <c r="B401" s="1"/>
      <c r="C401" s="27"/>
      <c r="D401" s="6"/>
      <c r="E401" s="7"/>
      <c r="F401" s="7"/>
      <c r="G401" s="31"/>
      <c r="H401" s="43"/>
    </row>
    <row r="402" spans="1:8" s="11" customFormat="1" ht="15" hidden="1" customHeight="1" outlineLevel="3" thickBot="1" x14ac:dyDescent="0.25">
      <c r="A402" s="2"/>
      <c r="B402" s="1"/>
      <c r="C402" s="27"/>
      <c r="D402" s="6"/>
      <c r="E402" s="7"/>
      <c r="F402" s="7"/>
      <c r="G402" s="31"/>
      <c r="H402" s="43"/>
    </row>
    <row r="403" spans="1:8" s="11" customFormat="1" ht="15" hidden="1" customHeight="1" outlineLevel="3" thickBot="1" x14ac:dyDescent="0.25">
      <c r="A403" s="2"/>
      <c r="B403" s="1"/>
      <c r="C403" s="27"/>
      <c r="D403" s="6"/>
      <c r="E403" s="7"/>
      <c r="F403" s="7"/>
      <c r="G403" s="31"/>
      <c r="H403" s="43"/>
    </row>
    <row r="404" spans="1:8" s="11" customFormat="1" ht="15" hidden="1" customHeight="1" outlineLevel="2" collapsed="1" thickBot="1" x14ac:dyDescent="0.25">
      <c r="A404" s="106">
        <f>A399+0.01</f>
        <v>2.5299999999999998</v>
      </c>
      <c r="B404" s="107"/>
      <c r="C404" s="27"/>
      <c r="D404" s="6"/>
      <c r="E404" s="7"/>
      <c r="F404" s="7"/>
      <c r="G404" s="31"/>
      <c r="H404" s="43"/>
    </row>
    <row r="405" spans="1:8" s="11" customFormat="1" ht="15" hidden="1" customHeight="1" outlineLevel="3" thickBot="1" x14ac:dyDescent="0.25">
      <c r="A405" s="2"/>
      <c r="B405" s="1"/>
      <c r="C405" s="27"/>
      <c r="D405" s="6"/>
      <c r="E405" s="7"/>
      <c r="F405" s="7"/>
      <c r="G405" s="31"/>
      <c r="H405" s="43"/>
    </row>
    <row r="406" spans="1:8" s="11" customFormat="1" ht="15" hidden="1" customHeight="1" outlineLevel="3" thickBot="1" x14ac:dyDescent="0.25">
      <c r="A406" s="2"/>
      <c r="B406" s="1"/>
      <c r="C406" s="27"/>
      <c r="D406" s="6"/>
      <c r="E406" s="7"/>
      <c r="F406" s="7"/>
      <c r="G406" s="31"/>
      <c r="H406" s="43"/>
    </row>
    <row r="407" spans="1:8" s="11" customFormat="1" ht="15" hidden="1" customHeight="1" outlineLevel="3" thickBot="1" x14ac:dyDescent="0.25">
      <c r="A407" s="2"/>
      <c r="B407" s="1"/>
      <c r="C407" s="27"/>
      <c r="D407" s="6"/>
      <c r="E407" s="7"/>
      <c r="F407" s="7"/>
      <c r="G407" s="31"/>
      <c r="H407" s="43"/>
    </row>
    <row r="408" spans="1:8" s="11" customFormat="1" ht="15" hidden="1" customHeight="1" outlineLevel="3" thickBot="1" x14ac:dyDescent="0.25">
      <c r="A408" s="2"/>
      <c r="B408" s="1"/>
      <c r="C408" s="27"/>
      <c r="D408" s="6"/>
      <c r="E408" s="7"/>
      <c r="F408" s="7"/>
      <c r="G408" s="31"/>
      <c r="H408" s="43"/>
    </row>
    <row r="409" spans="1:8" s="11" customFormat="1" ht="15" hidden="1" customHeight="1" outlineLevel="2" collapsed="1" thickBot="1" x14ac:dyDescent="0.25">
      <c r="A409" s="2">
        <f>A404+0.01</f>
        <v>2.5399999999999996</v>
      </c>
      <c r="B409" s="1"/>
      <c r="C409" s="27"/>
      <c r="D409" s="6"/>
      <c r="E409" s="7"/>
      <c r="F409" s="7"/>
      <c r="G409" s="31"/>
      <c r="H409" s="43"/>
    </row>
    <row r="410" spans="1:8" s="11" customFormat="1" ht="15" hidden="1" customHeight="1" outlineLevel="3" thickBot="1" x14ac:dyDescent="0.25">
      <c r="A410" s="2"/>
      <c r="B410" s="1"/>
      <c r="C410" s="27"/>
      <c r="D410" s="6"/>
      <c r="E410" s="7"/>
      <c r="F410" s="7"/>
      <c r="G410" s="31"/>
      <c r="H410" s="43"/>
    </row>
    <row r="411" spans="1:8" s="11" customFormat="1" ht="15" hidden="1" customHeight="1" outlineLevel="3" thickBot="1" x14ac:dyDescent="0.25">
      <c r="A411" s="2"/>
      <c r="B411" s="1"/>
      <c r="C411" s="27"/>
      <c r="D411" s="6"/>
      <c r="E411" s="7"/>
      <c r="F411" s="7"/>
      <c r="G411" s="31"/>
      <c r="H411" s="43"/>
    </row>
    <row r="412" spans="1:8" s="11" customFormat="1" ht="15" hidden="1" customHeight="1" outlineLevel="3" thickBot="1" x14ac:dyDescent="0.25">
      <c r="A412" s="2"/>
      <c r="B412" s="1"/>
      <c r="C412" s="27"/>
      <c r="D412" s="6"/>
      <c r="E412" s="7"/>
      <c r="F412" s="7"/>
      <c r="G412" s="31"/>
      <c r="H412" s="43"/>
    </row>
    <row r="413" spans="1:8" s="11" customFormat="1" ht="15" hidden="1" customHeight="1" outlineLevel="3" thickBot="1" x14ac:dyDescent="0.25">
      <c r="A413" s="2"/>
      <c r="B413" s="1"/>
      <c r="C413" s="27"/>
      <c r="D413" s="6"/>
      <c r="E413" s="7"/>
      <c r="F413" s="7"/>
      <c r="G413" s="31"/>
      <c r="H413" s="43"/>
    </row>
    <row r="414" spans="1:8" s="11" customFormat="1" ht="15" hidden="1" customHeight="1" outlineLevel="2" collapsed="1" thickBot="1" x14ac:dyDescent="0.25">
      <c r="A414" s="106">
        <f>A409+0.01</f>
        <v>2.5499999999999994</v>
      </c>
      <c r="B414" s="107"/>
      <c r="C414" s="27"/>
      <c r="D414" s="6"/>
      <c r="E414" s="7"/>
      <c r="F414" s="30"/>
      <c r="G414" s="31"/>
      <c r="H414" s="43"/>
    </row>
    <row r="415" spans="1:8" s="11" customFormat="1" ht="15" hidden="1" customHeight="1" outlineLevel="3" thickBot="1" x14ac:dyDescent="0.25">
      <c r="A415" s="2"/>
      <c r="B415" s="1"/>
      <c r="C415" s="27"/>
      <c r="D415" s="6"/>
      <c r="E415" s="7"/>
      <c r="F415" s="7"/>
      <c r="G415" s="31"/>
      <c r="H415" s="43"/>
    </row>
    <row r="416" spans="1:8" s="11" customFormat="1" ht="15" hidden="1" customHeight="1" outlineLevel="3" thickBot="1" x14ac:dyDescent="0.25">
      <c r="A416" s="2"/>
      <c r="B416" s="1"/>
      <c r="C416" s="27"/>
      <c r="D416" s="6"/>
      <c r="E416" s="7"/>
      <c r="F416" s="7"/>
      <c r="G416" s="31"/>
      <c r="H416" s="43"/>
    </row>
    <row r="417" spans="1:8" s="11" customFormat="1" ht="15" hidden="1" customHeight="1" outlineLevel="3" thickBot="1" x14ac:dyDescent="0.25">
      <c r="A417" s="2"/>
      <c r="B417" s="1"/>
      <c r="C417" s="27"/>
      <c r="D417" s="6"/>
      <c r="E417" s="7"/>
      <c r="F417" s="7"/>
      <c r="G417" s="31"/>
      <c r="H417" s="43"/>
    </row>
    <row r="418" spans="1:8" s="11" customFormat="1" ht="15" hidden="1" customHeight="1" outlineLevel="3" thickBot="1" x14ac:dyDescent="0.25">
      <c r="A418" s="2"/>
      <c r="B418" s="1"/>
      <c r="C418" s="27"/>
      <c r="D418" s="6"/>
      <c r="E418" s="7"/>
      <c r="F418" s="7"/>
      <c r="G418" s="31"/>
      <c r="H418" s="43"/>
    </row>
    <row r="419" spans="1:8" s="11" customFormat="1" ht="15" hidden="1" customHeight="1" outlineLevel="1" collapsed="1" thickBot="1" x14ac:dyDescent="0.25">
      <c r="A419" s="2">
        <f>A393+0.1</f>
        <v>2.6000000000000005</v>
      </c>
      <c r="B419" s="1"/>
      <c r="C419" s="28"/>
      <c r="D419" s="5"/>
      <c r="E419" s="9"/>
      <c r="F419" s="10"/>
      <c r="G419" s="37"/>
      <c r="H419" s="36"/>
    </row>
    <row r="420" spans="1:8" s="11" customFormat="1" ht="15" hidden="1" customHeight="1" outlineLevel="2" collapsed="1" thickBot="1" x14ac:dyDescent="0.25">
      <c r="A420" s="106">
        <f>A419+0.01</f>
        <v>2.6100000000000003</v>
      </c>
      <c r="B420" s="107"/>
      <c r="C420" s="27"/>
      <c r="D420" s="6"/>
      <c r="E420" s="7"/>
      <c r="F420" s="7"/>
      <c r="G420" s="31"/>
      <c r="H420" s="43"/>
    </row>
    <row r="421" spans="1:8" s="11" customFormat="1" ht="15" hidden="1" customHeight="1" outlineLevel="3" thickBot="1" x14ac:dyDescent="0.25">
      <c r="A421" s="2"/>
      <c r="B421" s="1"/>
      <c r="C421" s="27"/>
      <c r="D421" s="6"/>
      <c r="E421" s="7"/>
      <c r="F421" s="7"/>
      <c r="G421" s="31"/>
      <c r="H421" s="43"/>
    </row>
    <row r="422" spans="1:8" s="11" customFormat="1" ht="15" hidden="1" customHeight="1" outlineLevel="3" thickBot="1" x14ac:dyDescent="0.25">
      <c r="A422" s="2"/>
      <c r="B422" s="1"/>
      <c r="C422" s="27"/>
      <c r="D422" s="6"/>
      <c r="E422" s="7"/>
      <c r="F422" s="7"/>
      <c r="G422" s="31"/>
      <c r="H422" s="43"/>
    </row>
    <row r="423" spans="1:8" s="11" customFormat="1" ht="15" hidden="1" customHeight="1" outlineLevel="3" thickBot="1" x14ac:dyDescent="0.25">
      <c r="A423" s="2"/>
      <c r="B423" s="1"/>
      <c r="C423" s="27"/>
      <c r="D423" s="6"/>
      <c r="E423" s="7"/>
      <c r="F423" s="7"/>
      <c r="G423" s="31"/>
      <c r="H423" s="43"/>
    </row>
    <row r="424" spans="1:8" s="11" customFormat="1" ht="15" hidden="1" customHeight="1" outlineLevel="3" thickBot="1" x14ac:dyDescent="0.25">
      <c r="A424" s="2"/>
      <c r="B424" s="1"/>
      <c r="C424" s="27"/>
      <c r="D424" s="6"/>
      <c r="E424" s="7"/>
      <c r="F424" s="7"/>
      <c r="G424" s="31"/>
      <c r="H424" s="43"/>
    </row>
    <row r="425" spans="1:8" s="11" customFormat="1" ht="15" hidden="1" customHeight="1" outlineLevel="2" collapsed="1" thickBot="1" x14ac:dyDescent="0.25">
      <c r="A425" s="106">
        <f>A420+0.01</f>
        <v>2.62</v>
      </c>
      <c r="B425" s="107"/>
      <c r="C425" s="27"/>
      <c r="D425" s="6"/>
      <c r="E425" s="7"/>
      <c r="F425" s="7"/>
      <c r="G425" s="31"/>
      <c r="H425" s="43"/>
    </row>
    <row r="426" spans="1:8" s="11" customFormat="1" ht="15" hidden="1" customHeight="1" outlineLevel="3" thickBot="1" x14ac:dyDescent="0.25">
      <c r="A426" s="2"/>
      <c r="B426" s="1"/>
      <c r="C426" s="27"/>
      <c r="D426" s="6"/>
      <c r="E426" s="7"/>
      <c r="F426" s="7"/>
      <c r="G426" s="31"/>
      <c r="H426" s="43"/>
    </row>
    <row r="427" spans="1:8" s="11" customFormat="1" ht="15" hidden="1" customHeight="1" outlineLevel="3" thickBot="1" x14ac:dyDescent="0.25">
      <c r="A427" s="2"/>
      <c r="B427" s="1"/>
      <c r="C427" s="27"/>
      <c r="D427" s="6"/>
      <c r="E427" s="7"/>
      <c r="F427" s="7"/>
      <c r="G427" s="31"/>
      <c r="H427" s="43"/>
    </row>
    <row r="428" spans="1:8" s="11" customFormat="1" ht="15" hidden="1" customHeight="1" outlineLevel="3" thickBot="1" x14ac:dyDescent="0.25">
      <c r="A428" s="2"/>
      <c r="B428" s="1"/>
      <c r="C428" s="27"/>
      <c r="D428" s="6"/>
      <c r="E428" s="7"/>
      <c r="F428" s="7"/>
      <c r="G428" s="31"/>
      <c r="H428" s="43"/>
    </row>
    <row r="429" spans="1:8" s="11" customFormat="1" ht="15" hidden="1" customHeight="1" outlineLevel="3" thickBot="1" x14ac:dyDescent="0.25">
      <c r="A429" s="2"/>
      <c r="B429" s="1"/>
      <c r="C429" s="27"/>
      <c r="D429" s="6"/>
      <c r="E429" s="7"/>
      <c r="F429" s="7"/>
      <c r="G429" s="31"/>
      <c r="H429" s="43"/>
    </row>
    <row r="430" spans="1:8" s="11" customFormat="1" ht="15" hidden="1" customHeight="1" outlineLevel="2" collapsed="1" thickBot="1" x14ac:dyDescent="0.25">
      <c r="A430" s="106">
        <f>A425+0.01</f>
        <v>2.63</v>
      </c>
      <c r="B430" s="107"/>
      <c r="C430" s="27"/>
      <c r="D430" s="6"/>
      <c r="E430" s="7"/>
      <c r="F430" s="7"/>
      <c r="G430" s="31"/>
      <c r="H430" s="43"/>
    </row>
    <row r="431" spans="1:8" s="11" customFormat="1" ht="15" hidden="1" customHeight="1" outlineLevel="3" thickBot="1" x14ac:dyDescent="0.25">
      <c r="A431" s="2"/>
      <c r="B431" s="1"/>
      <c r="C431" s="27"/>
      <c r="D431" s="6"/>
      <c r="E431" s="7"/>
      <c r="F431" s="7"/>
      <c r="G431" s="31"/>
      <c r="H431" s="43"/>
    </row>
    <row r="432" spans="1:8" s="11" customFormat="1" ht="15" hidden="1" customHeight="1" outlineLevel="3" thickBot="1" x14ac:dyDescent="0.25">
      <c r="A432" s="2"/>
      <c r="B432" s="1"/>
      <c r="C432" s="27"/>
      <c r="D432" s="6"/>
      <c r="E432" s="7"/>
      <c r="F432" s="7"/>
      <c r="G432" s="31"/>
      <c r="H432" s="43"/>
    </row>
    <row r="433" spans="1:8" s="11" customFormat="1" ht="15" hidden="1" customHeight="1" outlineLevel="3" thickBot="1" x14ac:dyDescent="0.25">
      <c r="A433" s="2"/>
      <c r="B433" s="1"/>
      <c r="C433" s="27"/>
      <c r="D433" s="6"/>
      <c r="E433" s="7"/>
      <c r="F433" s="7"/>
      <c r="G433" s="31"/>
      <c r="H433" s="43"/>
    </row>
    <row r="434" spans="1:8" s="11" customFormat="1" ht="15" hidden="1" customHeight="1" outlineLevel="3" thickBot="1" x14ac:dyDescent="0.25">
      <c r="A434" s="2"/>
      <c r="B434" s="1"/>
      <c r="C434" s="27"/>
      <c r="D434" s="6"/>
      <c r="E434" s="7"/>
      <c r="F434" s="7"/>
      <c r="G434" s="31"/>
      <c r="H434" s="43"/>
    </row>
    <row r="435" spans="1:8" s="11" customFormat="1" ht="15" hidden="1" customHeight="1" outlineLevel="2" collapsed="1" thickBot="1" x14ac:dyDescent="0.25">
      <c r="A435" s="2">
        <f>A430+0.01</f>
        <v>2.6399999999999997</v>
      </c>
      <c r="B435" s="1"/>
      <c r="C435" s="27"/>
      <c r="D435" s="6"/>
      <c r="E435" s="7"/>
      <c r="F435" s="7"/>
      <c r="G435" s="31"/>
      <c r="H435" s="43"/>
    </row>
    <row r="436" spans="1:8" s="11" customFormat="1" ht="15" hidden="1" customHeight="1" outlineLevel="3" thickBot="1" x14ac:dyDescent="0.25">
      <c r="A436" s="2"/>
      <c r="B436" s="1"/>
      <c r="C436" s="27"/>
      <c r="D436" s="6"/>
      <c r="E436" s="7"/>
      <c r="F436" s="7"/>
      <c r="G436" s="31"/>
      <c r="H436" s="43"/>
    </row>
    <row r="437" spans="1:8" s="11" customFormat="1" ht="15" hidden="1" customHeight="1" outlineLevel="3" thickBot="1" x14ac:dyDescent="0.25">
      <c r="A437" s="2"/>
      <c r="B437" s="1"/>
      <c r="C437" s="27"/>
      <c r="D437" s="6"/>
      <c r="E437" s="7"/>
      <c r="F437" s="7"/>
      <c r="G437" s="31"/>
      <c r="H437" s="43"/>
    </row>
    <row r="438" spans="1:8" s="11" customFormat="1" ht="15" hidden="1" customHeight="1" outlineLevel="3" thickBot="1" x14ac:dyDescent="0.25">
      <c r="A438" s="2"/>
      <c r="B438" s="1"/>
      <c r="C438" s="27"/>
      <c r="D438" s="6"/>
      <c r="E438" s="7"/>
      <c r="F438" s="7"/>
      <c r="G438" s="31"/>
      <c r="H438" s="43"/>
    </row>
    <row r="439" spans="1:8" s="11" customFormat="1" ht="15" hidden="1" customHeight="1" outlineLevel="3" thickBot="1" x14ac:dyDescent="0.25">
      <c r="A439" s="2"/>
      <c r="B439" s="1"/>
      <c r="C439" s="27"/>
      <c r="D439" s="6"/>
      <c r="E439" s="7"/>
      <c r="F439" s="7"/>
      <c r="G439" s="31"/>
      <c r="H439" s="43"/>
    </row>
    <row r="440" spans="1:8" s="11" customFormat="1" ht="15" hidden="1" customHeight="1" outlineLevel="2" thickBot="1" x14ac:dyDescent="0.25">
      <c r="A440" s="106">
        <f>A435+0.01</f>
        <v>2.6499999999999995</v>
      </c>
      <c r="B440" s="107"/>
      <c r="C440" s="27"/>
      <c r="D440" s="6"/>
      <c r="E440" s="7"/>
      <c r="F440" s="30"/>
      <c r="G440" s="31"/>
      <c r="H440" s="43"/>
    </row>
    <row r="441" spans="1:8" s="11" customFormat="1" ht="15" hidden="1" customHeight="1" outlineLevel="3" thickBot="1" x14ac:dyDescent="0.25">
      <c r="A441" s="2"/>
      <c r="B441" s="1"/>
      <c r="C441" s="27"/>
      <c r="D441" s="6"/>
      <c r="E441" s="7"/>
      <c r="F441" s="7"/>
      <c r="G441" s="31"/>
      <c r="H441" s="43"/>
    </row>
    <row r="442" spans="1:8" s="11" customFormat="1" ht="15" hidden="1" customHeight="1" outlineLevel="3" thickBot="1" x14ac:dyDescent="0.25">
      <c r="A442" s="2"/>
      <c r="B442" s="1"/>
      <c r="C442" s="27"/>
      <c r="D442" s="6"/>
      <c r="E442" s="7"/>
      <c r="F442" s="7"/>
      <c r="G442" s="31"/>
      <c r="H442" s="43"/>
    </row>
    <row r="443" spans="1:8" s="11" customFormat="1" ht="15" hidden="1" customHeight="1" outlineLevel="3" thickBot="1" x14ac:dyDescent="0.25">
      <c r="A443" s="2"/>
      <c r="B443" s="1"/>
      <c r="C443" s="27"/>
      <c r="D443" s="6"/>
      <c r="E443" s="7"/>
      <c r="F443" s="7"/>
      <c r="G443" s="31"/>
      <c r="H443" s="43"/>
    </row>
    <row r="444" spans="1:8" s="11" customFormat="1" ht="15" hidden="1" customHeight="1" outlineLevel="3" thickBot="1" x14ac:dyDescent="0.25">
      <c r="A444" s="2"/>
      <c r="B444" s="1"/>
      <c r="C444" s="27"/>
      <c r="D444" s="6"/>
      <c r="E444" s="7"/>
      <c r="F444" s="7"/>
      <c r="G444" s="31"/>
      <c r="H444" s="43"/>
    </row>
    <row r="445" spans="1:8" s="11" customFormat="1" ht="15" hidden="1" customHeight="1" outlineLevel="1" collapsed="1" thickBot="1" x14ac:dyDescent="0.25">
      <c r="A445" s="2">
        <f>A419+0.1</f>
        <v>2.7000000000000006</v>
      </c>
      <c r="B445" s="1"/>
      <c r="C445" s="28"/>
      <c r="D445" s="5"/>
      <c r="E445" s="9"/>
      <c r="F445" s="10"/>
      <c r="G445" s="37"/>
      <c r="H445" s="36"/>
    </row>
    <row r="446" spans="1:8" s="11" customFormat="1" ht="15" hidden="1" customHeight="1" outlineLevel="2" collapsed="1" thickBot="1" x14ac:dyDescent="0.25">
      <c r="A446" s="106">
        <f>A445+0.01</f>
        <v>2.7100000000000004</v>
      </c>
      <c r="B446" s="107"/>
      <c r="C446" s="27"/>
      <c r="D446" s="6"/>
      <c r="E446" s="7"/>
      <c r="F446" s="7"/>
      <c r="G446" s="31"/>
      <c r="H446" s="43"/>
    </row>
    <row r="447" spans="1:8" s="11" customFormat="1" ht="15" hidden="1" customHeight="1" outlineLevel="3" thickBot="1" x14ac:dyDescent="0.25">
      <c r="A447" s="2"/>
      <c r="B447" s="1"/>
      <c r="C447" s="27"/>
      <c r="D447" s="6"/>
      <c r="E447" s="7"/>
      <c r="F447" s="7"/>
      <c r="G447" s="31"/>
      <c r="H447" s="43"/>
    </row>
    <row r="448" spans="1:8" s="11" customFormat="1" ht="15" hidden="1" customHeight="1" outlineLevel="3" thickBot="1" x14ac:dyDescent="0.25">
      <c r="A448" s="2"/>
      <c r="B448" s="1"/>
      <c r="C448" s="27"/>
      <c r="D448" s="6"/>
      <c r="E448" s="7"/>
      <c r="F448" s="7"/>
      <c r="G448" s="31"/>
      <c r="H448" s="43"/>
    </row>
    <row r="449" spans="1:8" s="11" customFormat="1" ht="15" hidden="1" customHeight="1" outlineLevel="3" thickBot="1" x14ac:dyDescent="0.25">
      <c r="A449" s="2"/>
      <c r="B449" s="1"/>
      <c r="C449" s="27"/>
      <c r="D449" s="6"/>
      <c r="E449" s="7"/>
      <c r="F449" s="7"/>
      <c r="G449" s="31"/>
      <c r="H449" s="43"/>
    </row>
    <row r="450" spans="1:8" s="11" customFormat="1" ht="15" hidden="1" customHeight="1" outlineLevel="3" thickBot="1" x14ac:dyDescent="0.25">
      <c r="A450" s="2"/>
      <c r="B450" s="1"/>
      <c r="C450" s="27"/>
      <c r="D450" s="6"/>
      <c r="E450" s="7"/>
      <c r="F450" s="7"/>
      <c r="G450" s="31"/>
      <c r="H450" s="43"/>
    </row>
    <row r="451" spans="1:8" s="11" customFormat="1" ht="15" hidden="1" customHeight="1" outlineLevel="2" collapsed="1" thickBot="1" x14ac:dyDescent="0.25">
      <c r="A451" s="106">
        <f>A446+0.01</f>
        <v>2.72</v>
      </c>
      <c r="B451" s="107"/>
      <c r="C451" s="27"/>
      <c r="D451" s="6"/>
      <c r="E451" s="7"/>
      <c r="F451" s="7"/>
      <c r="G451" s="31"/>
      <c r="H451" s="43"/>
    </row>
    <row r="452" spans="1:8" s="11" customFormat="1" ht="15" hidden="1" customHeight="1" outlineLevel="3" thickBot="1" x14ac:dyDescent="0.25">
      <c r="A452" s="2"/>
      <c r="B452" s="1"/>
      <c r="C452" s="27"/>
      <c r="D452" s="6"/>
      <c r="E452" s="7"/>
      <c r="F452" s="7"/>
      <c r="G452" s="31"/>
      <c r="H452" s="43"/>
    </row>
    <row r="453" spans="1:8" s="11" customFormat="1" ht="15" hidden="1" customHeight="1" outlineLevel="3" thickBot="1" x14ac:dyDescent="0.25">
      <c r="A453" s="2"/>
      <c r="B453" s="1"/>
      <c r="C453" s="27"/>
      <c r="D453" s="6"/>
      <c r="E453" s="7"/>
      <c r="F453" s="7"/>
      <c r="G453" s="31"/>
      <c r="H453" s="43"/>
    </row>
    <row r="454" spans="1:8" s="11" customFormat="1" ht="15" hidden="1" customHeight="1" outlineLevel="3" thickBot="1" x14ac:dyDescent="0.25">
      <c r="A454" s="2"/>
      <c r="B454" s="1"/>
      <c r="C454" s="27"/>
      <c r="D454" s="6"/>
      <c r="E454" s="7"/>
      <c r="F454" s="7"/>
      <c r="G454" s="31"/>
      <c r="H454" s="43"/>
    </row>
    <row r="455" spans="1:8" s="11" customFormat="1" ht="15" hidden="1" customHeight="1" outlineLevel="3" thickBot="1" x14ac:dyDescent="0.25">
      <c r="A455" s="2"/>
      <c r="B455" s="1"/>
      <c r="C455" s="27"/>
      <c r="D455" s="6"/>
      <c r="E455" s="7"/>
      <c r="F455" s="7"/>
      <c r="G455" s="31"/>
      <c r="H455" s="43"/>
    </row>
    <row r="456" spans="1:8" s="11" customFormat="1" ht="15" hidden="1" customHeight="1" outlineLevel="2" collapsed="1" thickBot="1" x14ac:dyDescent="0.25">
      <c r="A456" s="106">
        <f>A451+0.01</f>
        <v>2.73</v>
      </c>
      <c r="B456" s="107"/>
      <c r="C456" s="27"/>
      <c r="D456" s="6"/>
      <c r="E456" s="7"/>
      <c r="F456" s="7"/>
      <c r="G456" s="31"/>
      <c r="H456" s="43"/>
    </row>
    <row r="457" spans="1:8" s="11" customFormat="1" ht="15" hidden="1" customHeight="1" outlineLevel="3" thickBot="1" x14ac:dyDescent="0.25">
      <c r="A457" s="2"/>
      <c r="B457" s="1"/>
      <c r="C457" s="27"/>
      <c r="D457" s="6"/>
      <c r="E457" s="7"/>
      <c r="F457" s="7"/>
      <c r="G457" s="31"/>
      <c r="H457" s="43"/>
    </row>
    <row r="458" spans="1:8" s="11" customFormat="1" ht="15" hidden="1" customHeight="1" outlineLevel="3" thickBot="1" x14ac:dyDescent="0.25">
      <c r="A458" s="2"/>
      <c r="B458" s="1"/>
      <c r="C458" s="27"/>
      <c r="D458" s="6"/>
      <c r="E458" s="7"/>
      <c r="F458" s="7"/>
      <c r="G458" s="31"/>
      <c r="H458" s="43"/>
    </row>
    <row r="459" spans="1:8" s="11" customFormat="1" ht="15" hidden="1" customHeight="1" outlineLevel="3" thickBot="1" x14ac:dyDescent="0.25">
      <c r="A459" s="2"/>
      <c r="B459" s="1"/>
      <c r="C459" s="27"/>
      <c r="D459" s="6"/>
      <c r="E459" s="7"/>
      <c r="F459" s="7"/>
      <c r="G459" s="31"/>
      <c r="H459" s="43"/>
    </row>
    <row r="460" spans="1:8" s="11" customFormat="1" ht="15" hidden="1" customHeight="1" outlineLevel="3" thickBot="1" x14ac:dyDescent="0.25">
      <c r="A460" s="2"/>
      <c r="B460" s="1"/>
      <c r="C460" s="27"/>
      <c r="D460" s="6"/>
      <c r="E460" s="7"/>
      <c r="F460" s="7"/>
      <c r="G460" s="31"/>
      <c r="H460" s="43"/>
    </row>
    <row r="461" spans="1:8" s="11" customFormat="1" ht="15" hidden="1" customHeight="1" outlineLevel="2" collapsed="1" thickBot="1" x14ac:dyDescent="0.25">
      <c r="A461" s="2">
        <f>A456+0.01</f>
        <v>2.7399999999999998</v>
      </c>
      <c r="B461" s="1"/>
      <c r="C461" s="27"/>
      <c r="D461" s="6"/>
      <c r="E461" s="7"/>
      <c r="F461" s="7"/>
      <c r="G461" s="31"/>
      <c r="H461" s="43"/>
    </row>
    <row r="462" spans="1:8" s="11" customFormat="1" ht="15" hidden="1" customHeight="1" outlineLevel="3" thickBot="1" x14ac:dyDescent="0.25">
      <c r="A462" s="2"/>
      <c r="B462" s="1"/>
      <c r="C462" s="27"/>
      <c r="D462" s="6"/>
      <c r="E462" s="7"/>
      <c r="F462" s="7"/>
      <c r="G462" s="31"/>
      <c r="H462" s="43"/>
    </row>
    <row r="463" spans="1:8" s="11" customFormat="1" ht="15" hidden="1" customHeight="1" outlineLevel="3" thickBot="1" x14ac:dyDescent="0.25">
      <c r="A463" s="2"/>
      <c r="B463" s="1"/>
      <c r="C463" s="27"/>
      <c r="D463" s="6"/>
      <c r="E463" s="7"/>
      <c r="F463" s="7"/>
      <c r="G463" s="31"/>
      <c r="H463" s="43"/>
    </row>
    <row r="464" spans="1:8" s="11" customFormat="1" ht="15" hidden="1" customHeight="1" outlineLevel="3" thickBot="1" x14ac:dyDescent="0.25">
      <c r="A464" s="2"/>
      <c r="B464" s="1"/>
      <c r="C464" s="27"/>
      <c r="D464" s="6"/>
      <c r="E464" s="7"/>
      <c r="F464" s="7"/>
      <c r="G464" s="31"/>
      <c r="H464" s="43"/>
    </row>
    <row r="465" spans="1:8" s="11" customFormat="1" ht="15" hidden="1" customHeight="1" outlineLevel="3" thickBot="1" x14ac:dyDescent="0.25">
      <c r="A465" s="2"/>
      <c r="B465" s="1"/>
      <c r="C465" s="27"/>
      <c r="D465" s="6"/>
      <c r="E465" s="7"/>
      <c r="F465" s="7"/>
      <c r="G465" s="31"/>
      <c r="H465" s="43"/>
    </row>
    <row r="466" spans="1:8" s="11" customFormat="1" ht="15" hidden="1" customHeight="1" outlineLevel="2" thickBot="1" x14ac:dyDescent="0.25">
      <c r="A466" s="106">
        <f>A461+0.01</f>
        <v>2.7499999999999996</v>
      </c>
      <c r="B466" s="107"/>
      <c r="C466" s="27"/>
      <c r="D466" s="6"/>
      <c r="E466" s="7"/>
      <c r="F466" s="30"/>
      <c r="G466" s="31"/>
      <c r="H466" s="43"/>
    </row>
    <row r="467" spans="1:8" s="11" customFormat="1" ht="15" hidden="1" customHeight="1" outlineLevel="3" thickBot="1" x14ac:dyDescent="0.25">
      <c r="A467" s="2"/>
      <c r="B467" s="1"/>
      <c r="C467" s="27"/>
      <c r="D467" s="6"/>
      <c r="E467" s="7"/>
      <c r="F467" s="7"/>
      <c r="G467" s="31"/>
      <c r="H467" s="43"/>
    </row>
    <row r="468" spans="1:8" s="11" customFormat="1" ht="15" hidden="1" customHeight="1" outlineLevel="3" thickBot="1" x14ac:dyDescent="0.25">
      <c r="A468" s="2"/>
      <c r="B468" s="1"/>
      <c r="C468" s="27"/>
      <c r="D468" s="6"/>
      <c r="E468" s="7"/>
      <c r="F468" s="7"/>
      <c r="G468" s="31"/>
      <c r="H468" s="43"/>
    </row>
    <row r="469" spans="1:8" s="11" customFormat="1" ht="15" hidden="1" customHeight="1" outlineLevel="3" thickBot="1" x14ac:dyDescent="0.25">
      <c r="A469" s="2"/>
      <c r="B469" s="1"/>
      <c r="C469" s="27"/>
      <c r="D469" s="6"/>
      <c r="E469" s="7"/>
      <c r="F469" s="7"/>
      <c r="G469" s="31"/>
      <c r="H469" s="43"/>
    </row>
    <row r="470" spans="1:8" s="11" customFormat="1" ht="15" hidden="1" customHeight="1" outlineLevel="3" thickBot="1" x14ac:dyDescent="0.25">
      <c r="A470" s="2"/>
      <c r="B470" s="1"/>
      <c r="C470" s="27"/>
      <c r="D470" s="6"/>
      <c r="E470" s="7"/>
      <c r="F470" s="7"/>
      <c r="G470" s="31"/>
      <c r="H470" s="43"/>
    </row>
    <row r="471" spans="1:8" s="11" customFormat="1" ht="15" hidden="1" customHeight="1" outlineLevel="1" collapsed="1" thickBot="1" x14ac:dyDescent="0.25">
      <c r="A471" s="2">
        <f>A445+0.1</f>
        <v>2.8000000000000007</v>
      </c>
      <c r="B471" s="1"/>
      <c r="C471" s="28"/>
      <c r="D471" s="5"/>
      <c r="E471" s="9"/>
      <c r="F471" s="10"/>
      <c r="G471" s="37"/>
      <c r="H471" s="36"/>
    </row>
    <row r="472" spans="1:8" s="11" customFormat="1" ht="15" hidden="1" customHeight="1" outlineLevel="2" collapsed="1" thickBot="1" x14ac:dyDescent="0.25">
      <c r="A472" s="106">
        <f>A471+0.01</f>
        <v>2.8100000000000005</v>
      </c>
      <c r="B472" s="107"/>
      <c r="C472" s="27"/>
      <c r="D472" s="6"/>
      <c r="E472" s="7"/>
      <c r="F472" s="7"/>
      <c r="G472" s="31"/>
      <c r="H472" s="43"/>
    </row>
    <row r="473" spans="1:8" s="11" customFormat="1" ht="15" hidden="1" customHeight="1" outlineLevel="3" thickBot="1" x14ac:dyDescent="0.25">
      <c r="A473" s="2"/>
      <c r="B473" s="1"/>
      <c r="C473" s="27"/>
      <c r="D473" s="6"/>
      <c r="E473" s="7"/>
      <c r="F473" s="7"/>
      <c r="G473" s="31"/>
      <c r="H473" s="43"/>
    </row>
    <row r="474" spans="1:8" s="11" customFormat="1" ht="15" hidden="1" customHeight="1" outlineLevel="3" thickBot="1" x14ac:dyDescent="0.25">
      <c r="A474" s="2"/>
      <c r="B474" s="1"/>
      <c r="C474" s="27"/>
      <c r="D474" s="6"/>
      <c r="E474" s="7"/>
      <c r="F474" s="7"/>
      <c r="G474" s="31"/>
      <c r="H474" s="43"/>
    </row>
    <row r="475" spans="1:8" s="11" customFormat="1" ht="15" hidden="1" customHeight="1" outlineLevel="3" thickBot="1" x14ac:dyDescent="0.25">
      <c r="A475" s="2"/>
      <c r="B475" s="1"/>
      <c r="C475" s="27"/>
      <c r="D475" s="6"/>
      <c r="E475" s="7"/>
      <c r="F475" s="7"/>
      <c r="G475" s="31"/>
      <c r="H475" s="43"/>
    </row>
    <row r="476" spans="1:8" s="11" customFormat="1" ht="15" hidden="1" customHeight="1" outlineLevel="3" thickBot="1" x14ac:dyDescent="0.25">
      <c r="A476" s="2"/>
      <c r="B476" s="1"/>
      <c r="C476" s="27"/>
      <c r="D476" s="6"/>
      <c r="E476" s="7"/>
      <c r="F476" s="7"/>
      <c r="G476" s="31"/>
      <c r="H476" s="43"/>
    </row>
    <row r="477" spans="1:8" s="11" customFormat="1" ht="15" hidden="1" customHeight="1" outlineLevel="2" collapsed="1" thickBot="1" x14ac:dyDescent="0.25">
      <c r="A477" s="106">
        <f>A472+0.01</f>
        <v>2.8200000000000003</v>
      </c>
      <c r="B477" s="107"/>
      <c r="C477" s="27"/>
      <c r="D477" s="6"/>
      <c r="E477" s="7"/>
      <c r="F477" s="7"/>
      <c r="G477" s="31"/>
      <c r="H477" s="43"/>
    </row>
    <row r="478" spans="1:8" s="11" customFormat="1" ht="15" hidden="1" customHeight="1" outlineLevel="3" thickBot="1" x14ac:dyDescent="0.25">
      <c r="A478" s="2"/>
      <c r="B478" s="1"/>
      <c r="C478" s="27"/>
      <c r="D478" s="6"/>
      <c r="E478" s="7"/>
      <c r="F478" s="7"/>
      <c r="G478" s="31"/>
      <c r="H478" s="43"/>
    </row>
    <row r="479" spans="1:8" s="11" customFormat="1" ht="15" hidden="1" customHeight="1" outlineLevel="3" thickBot="1" x14ac:dyDescent="0.25">
      <c r="A479" s="2"/>
      <c r="B479" s="1"/>
      <c r="C479" s="27"/>
      <c r="D479" s="6"/>
      <c r="E479" s="7"/>
      <c r="F479" s="7"/>
      <c r="G479" s="31"/>
      <c r="H479" s="43"/>
    </row>
    <row r="480" spans="1:8" s="11" customFormat="1" ht="15" hidden="1" customHeight="1" outlineLevel="3" thickBot="1" x14ac:dyDescent="0.25">
      <c r="A480" s="2"/>
      <c r="B480" s="1"/>
      <c r="C480" s="27"/>
      <c r="D480" s="6"/>
      <c r="E480" s="7"/>
      <c r="F480" s="7"/>
      <c r="G480" s="31"/>
      <c r="H480" s="43"/>
    </row>
    <row r="481" spans="1:8" s="11" customFormat="1" ht="15" hidden="1" customHeight="1" outlineLevel="3" thickBot="1" x14ac:dyDescent="0.25">
      <c r="A481" s="2"/>
      <c r="B481" s="1"/>
      <c r="C481" s="27"/>
      <c r="D481" s="6"/>
      <c r="E481" s="7"/>
      <c r="F481" s="7"/>
      <c r="G481" s="31"/>
      <c r="H481" s="43"/>
    </row>
    <row r="482" spans="1:8" s="11" customFormat="1" ht="15" hidden="1" customHeight="1" outlineLevel="2" collapsed="1" thickBot="1" x14ac:dyDescent="0.25">
      <c r="A482" s="106">
        <f>A477+0.01</f>
        <v>2.83</v>
      </c>
      <c r="B482" s="107"/>
      <c r="C482" s="27"/>
      <c r="D482" s="6"/>
      <c r="E482" s="7"/>
      <c r="F482" s="7"/>
      <c r="G482" s="31"/>
      <c r="H482" s="43"/>
    </row>
    <row r="483" spans="1:8" s="11" customFormat="1" ht="15" hidden="1" customHeight="1" outlineLevel="3" thickBot="1" x14ac:dyDescent="0.25">
      <c r="A483" s="2"/>
      <c r="B483" s="1"/>
      <c r="C483" s="27"/>
      <c r="D483" s="6"/>
      <c r="E483" s="7"/>
      <c r="F483" s="7"/>
      <c r="G483" s="31"/>
      <c r="H483" s="43"/>
    </row>
    <row r="484" spans="1:8" s="11" customFormat="1" ht="15" hidden="1" customHeight="1" outlineLevel="3" thickBot="1" x14ac:dyDescent="0.25">
      <c r="A484" s="2"/>
      <c r="B484" s="1"/>
      <c r="C484" s="27"/>
      <c r="D484" s="6"/>
      <c r="E484" s="7"/>
      <c r="F484" s="7"/>
      <c r="G484" s="31"/>
      <c r="H484" s="43"/>
    </row>
    <row r="485" spans="1:8" s="11" customFormat="1" ht="15" hidden="1" customHeight="1" outlineLevel="3" thickBot="1" x14ac:dyDescent="0.25">
      <c r="A485" s="2"/>
      <c r="B485" s="1"/>
      <c r="C485" s="27"/>
      <c r="D485" s="6"/>
      <c r="E485" s="7"/>
      <c r="F485" s="7"/>
      <c r="G485" s="31"/>
      <c r="H485" s="43"/>
    </row>
    <row r="486" spans="1:8" s="11" customFormat="1" ht="15" hidden="1" customHeight="1" outlineLevel="3" thickBot="1" x14ac:dyDescent="0.25">
      <c r="A486" s="2"/>
      <c r="B486" s="1"/>
      <c r="C486" s="27"/>
      <c r="D486" s="6"/>
      <c r="E486" s="7"/>
      <c r="F486" s="7"/>
      <c r="G486" s="31"/>
      <c r="H486" s="43"/>
    </row>
    <row r="487" spans="1:8" s="11" customFormat="1" ht="15" hidden="1" customHeight="1" outlineLevel="2" collapsed="1" thickBot="1" x14ac:dyDescent="0.25">
      <c r="A487" s="2">
        <f>A482+0.01</f>
        <v>2.84</v>
      </c>
      <c r="B487" s="1"/>
      <c r="C487" s="27"/>
      <c r="D487" s="6"/>
      <c r="E487" s="7"/>
      <c r="F487" s="7"/>
      <c r="G487" s="31"/>
      <c r="H487" s="43"/>
    </row>
    <row r="488" spans="1:8" s="11" customFormat="1" ht="15" hidden="1" customHeight="1" outlineLevel="3" thickBot="1" x14ac:dyDescent="0.25">
      <c r="A488" s="2"/>
      <c r="B488" s="1"/>
      <c r="C488" s="27"/>
      <c r="D488" s="6"/>
      <c r="E488" s="7"/>
      <c r="F488" s="7"/>
      <c r="G488" s="31"/>
      <c r="H488" s="43"/>
    </row>
    <row r="489" spans="1:8" s="11" customFormat="1" ht="15" hidden="1" customHeight="1" outlineLevel="3" thickBot="1" x14ac:dyDescent="0.25">
      <c r="A489" s="2"/>
      <c r="B489" s="1"/>
      <c r="C489" s="27"/>
      <c r="D489" s="6"/>
      <c r="E489" s="7"/>
      <c r="F489" s="7"/>
      <c r="G489" s="31"/>
      <c r="H489" s="43"/>
    </row>
    <row r="490" spans="1:8" s="11" customFormat="1" ht="15" hidden="1" customHeight="1" outlineLevel="3" thickBot="1" x14ac:dyDescent="0.25">
      <c r="A490" s="2"/>
      <c r="B490" s="1"/>
      <c r="C490" s="27"/>
      <c r="D490" s="6"/>
      <c r="E490" s="7"/>
      <c r="F490" s="7"/>
      <c r="G490" s="31"/>
      <c r="H490" s="43"/>
    </row>
    <row r="491" spans="1:8" s="11" customFormat="1" ht="15" hidden="1" customHeight="1" outlineLevel="3" thickBot="1" x14ac:dyDescent="0.25">
      <c r="A491" s="2"/>
      <c r="B491" s="1"/>
      <c r="C491" s="27"/>
      <c r="D491" s="6"/>
      <c r="E491" s="7"/>
      <c r="F491" s="7"/>
      <c r="G491" s="31"/>
      <c r="H491" s="43"/>
    </row>
    <row r="492" spans="1:8" s="11" customFormat="1" ht="15" hidden="1" customHeight="1" outlineLevel="2" thickBot="1" x14ac:dyDescent="0.25">
      <c r="A492" s="106">
        <f>A487+0.01</f>
        <v>2.8499999999999996</v>
      </c>
      <c r="B492" s="107"/>
      <c r="C492" s="27"/>
      <c r="D492" s="6"/>
      <c r="E492" s="7"/>
      <c r="F492" s="30"/>
      <c r="G492" s="31"/>
      <c r="H492" s="43"/>
    </row>
    <row r="493" spans="1:8" s="11" customFormat="1" ht="15" hidden="1" customHeight="1" outlineLevel="3" thickBot="1" x14ac:dyDescent="0.25">
      <c r="A493" s="2"/>
      <c r="B493" s="1"/>
      <c r="C493" s="27"/>
      <c r="D493" s="6"/>
      <c r="E493" s="7"/>
      <c r="F493" s="7"/>
      <c r="G493" s="31"/>
      <c r="H493" s="43"/>
    </row>
    <row r="494" spans="1:8" s="11" customFormat="1" ht="15" hidden="1" customHeight="1" outlineLevel="3" thickBot="1" x14ac:dyDescent="0.25">
      <c r="A494" s="2"/>
      <c r="B494" s="1"/>
      <c r="C494" s="27"/>
      <c r="D494" s="6"/>
      <c r="E494" s="7"/>
      <c r="F494" s="7"/>
      <c r="G494" s="31"/>
      <c r="H494" s="43"/>
    </row>
    <row r="495" spans="1:8" s="11" customFormat="1" ht="15" hidden="1" customHeight="1" outlineLevel="3" thickBot="1" x14ac:dyDescent="0.25">
      <c r="A495" s="2"/>
      <c r="B495" s="1"/>
      <c r="C495" s="27"/>
      <c r="D495" s="6"/>
      <c r="E495" s="7"/>
      <c r="F495" s="7"/>
      <c r="G495" s="31"/>
      <c r="H495" s="43"/>
    </row>
    <row r="496" spans="1:8" s="11" customFormat="1" ht="15" hidden="1" customHeight="1" outlineLevel="3" thickBot="1" x14ac:dyDescent="0.25">
      <c r="A496" s="2"/>
      <c r="B496" s="1"/>
      <c r="C496" s="27"/>
      <c r="D496" s="6"/>
      <c r="E496" s="7"/>
      <c r="F496" s="7"/>
      <c r="G496" s="31"/>
      <c r="H496" s="43"/>
    </row>
    <row r="497" spans="1:8" s="11" customFormat="1" ht="15" hidden="1" customHeight="1" outlineLevel="1" collapsed="1" thickBot="1" x14ac:dyDescent="0.25">
      <c r="A497" s="2">
        <f>A471+0.1</f>
        <v>2.9000000000000008</v>
      </c>
      <c r="B497" s="1"/>
      <c r="C497" s="28"/>
      <c r="D497" s="5"/>
      <c r="E497" s="9"/>
      <c r="F497" s="10"/>
      <c r="G497" s="37"/>
      <c r="H497" s="36"/>
    </row>
    <row r="498" spans="1:8" s="11" customFormat="1" ht="15" hidden="1" customHeight="1" outlineLevel="2" collapsed="1" thickBot="1" x14ac:dyDescent="0.25">
      <c r="A498" s="106">
        <f>A497+0.01</f>
        <v>2.9100000000000006</v>
      </c>
      <c r="B498" s="107"/>
      <c r="C498" s="27"/>
      <c r="D498" s="6"/>
      <c r="E498" s="7"/>
      <c r="F498" s="7"/>
      <c r="G498" s="31"/>
      <c r="H498" s="43"/>
    </row>
    <row r="499" spans="1:8" s="11" customFormat="1" ht="15" hidden="1" customHeight="1" outlineLevel="3" thickBot="1" x14ac:dyDescent="0.25">
      <c r="A499" s="2"/>
      <c r="B499" s="1"/>
      <c r="C499" s="27"/>
      <c r="D499" s="6"/>
      <c r="E499" s="7"/>
      <c r="F499" s="7"/>
      <c r="G499" s="31"/>
      <c r="H499" s="43"/>
    </row>
    <row r="500" spans="1:8" s="11" customFormat="1" ht="15" hidden="1" customHeight="1" outlineLevel="3" thickBot="1" x14ac:dyDescent="0.25">
      <c r="A500" s="2"/>
      <c r="B500" s="1"/>
      <c r="C500" s="27"/>
      <c r="D500" s="6"/>
      <c r="E500" s="7"/>
      <c r="F500" s="7"/>
      <c r="G500" s="31"/>
      <c r="H500" s="43"/>
    </row>
    <row r="501" spans="1:8" s="11" customFormat="1" ht="15" hidden="1" customHeight="1" outlineLevel="3" thickBot="1" x14ac:dyDescent="0.25">
      <c r="A501" s="2"/>
      <c r="B501" s="1"/>
      <c r="C501" s="27"/>
      <c r="D501" s="6"/>
      <c r="E501" s="7"/>
      <c r="F501" s="7"/>
      <c r="G501" s="31"/>
      <c r="H501" s="43"/>
    </row>
    <row r="502" spans="1:8" s="11" customFormat="1" ht="15" hidden="1" customHeight="1" outlineLevel="3" thickBot="1" x14ac:dyDescent="0.25">
      <c r="A502" s="2"/>
      <c r="B502" s="1"/>
      <c r="C502" s="27"/>
      <c r="D502" s="6"/>
      <c r="E502" s="7"/>
      <c r="F502" s="7"/>
      <c r="G502" s="31"/>
      <c r="H502" s="43"/>
    </row>
    <row r="503" spans="1:8" s="11" customFormat="1" ht="15" hidden="1" customHeight="1" outlineLevel="2" collapsed="1" thickBot="1" x14ac:dyDescent="0.25">
      <c r="A503" s="106">
        <f>A498+0.01</f>
        <v>2.9200000000000004</v>
      </c>
      <c r="B503" s="107"/>
      <c r="C503" s="27"/>
      <c r="D503" s="6"/>
      <c r="E503" s="7"/>
      <c r="F503" s="7"/>
      <c r="G503" s="31"/>
      <c r="H503" s="43"/>
    </row>
    <row r="504" spans="1:8" s="11" customFormat="1" ht="15" hidden="1" customHeight="1" outlineLevel="3" thickBot="1" x14ac:dyDescent="0.25">
      <c r="A504" s="2"/>
      <c r="B504" s="1"/>
      <c r="C504" s="27"/>
      <c r="D504" s="6"/>
      <c r="E504" s="7"/>
      <c r="F504" s="7"/>
      <c r="G504" s="31"/>
      <c r="H504" s="43"/>
    </row>
    <row r="505" spans="1:8" s="11" customFormat="1" ht="15" hidden="1" customHeight="1" outlineLevel="3" thickBot="1" x14ac:dyDescent="0.25">
      <c r="A505" s="2"/>
      <c r="B505" s="1"/>
      <c r="C505" s="27"/>
      <c r="D505" s="6"/>
      <c r="E505" s="7"/>
      <c r="F505" s="7"/>
      <c r="G505" s="31"/>
      <c r="H505" s="43"/>
    </row>
    <row r="506" spans="1:8" s="11" customFormat="1" ht="15" hidden="1" customHeight="1" outlineLevel="3" thickBot="1" x14ac:dyDescent="0.25">
      <c r="A506" s="2"/>
      <c r="B506" s="1"/>
      <c r="C506" s="27"/>
      <c r="D506" s="6"/>
      <c r="E506" s="7"/>
      <c r="F506" s="7"/>
      <c r="G506" s="31"/>
      <c r="H506" s="43"/>
    </row>
    <row r="507" spans="1:8" s="11" customFormat="1" ht="15" hidden="1" customHeight="1" outlineLevel="3" thickBot="1" x14ac:dyDescent="0.25">
      <c r="A507" s="2"/>
      <c r="B507" s="1"/>
      <c r="C507" s="27"/>
      <c r="D507" s="6"/>
      <c r="E507" s="7"/>
      <c r="F507" s="7"/>
      <c r="G507" s="31"/>
      <c r="H507" s="43"/>
    </row>
    <row r="508" spans="1:8" s="11" customFormat="1" ht="15" hidden="1" customHeight="1" outlineLevel="2" collapsed="1" thickBot="1" x14ac:dyDescent="0.25">
      <c r="A508" s="106">
        <f>A503+0.01</f>
        <v>2.93</v>
      </c>
      <c r="B508" s="107"/>
      <c r="C508" s="27"/>
      <c r="D508" s="6"/>
      <c r="E508" s="7"/>
      <c r="F508" s="7"/>
      <c r="G508" s="31"/>
      <c r="H508" s="43"/>
    </row>
    <row r="509" spans="1:8" s="11" customFormat="1" ht="15" hidden="1" customHeight="1" outlineLevel="3" thickBot="1" x14ac:dyDescent="0.25">
      <c r="A509" s="2"/>
      <c r="B509" s="1"/>
      <c r="C509" s="27"/>
      <c r="D509" s="6"/>
      <c r="E509" s="7"/>
      <c r="F509" s="7"/>
      <c r="G509" s="31"/>
      <c r="H509" s="43"/>
    </row>
    <row r="510" spans="1:8" s="11" customFormat="1" ht="15" hidden="1" customHeight="1" outlineLevel="3" thickBot="1" x14ac:dyDescent="0.25">
      <c r="A510" s="2"/>
      <c r="B510" s="1"/>
      <c r="C510" s="27"/>
      <c r="D510" s="6"/>
      <c r="E510" s="7"/>
      <c r="F510" s="7"/>
      <c r="G510" s="31"/>
      <c r="H510" s="43"/>
    </row>
    <row r="511" spans="1:8" s="11" customFormat="1" ht="15" hidden="1" customHeight="1" outlineLevel="3" thickBot="1" x14ac:dyDescent="0.25">
      <c r="A511" s="2"/>
      <c r="B511" s="1"/>
      <c r="C511" s="27"/>
      <c r="D511" s="6"/>
      <c r="E511" s="7"/>
      <c r="F511" s="7"/>
      <c r="G511" s="31"/>
      <c r="H511" s="43"/>
    </row>
    <row r="512" spans="1:8" s="11" customFormat="1" ht="15" hidden="1" customHeight="1" outlineLevel="3" thickBot="1" x14ac:dyDescent="0.25">
      <c r="A512" s="2"/>
      <c r="B512" s="1"/>
      <c r="C512" s="27"/>
      <c r="D512" s="6"/>
      <c r="E512" s="7"/>
      <c r="F512" s="7"/>
      <c r="G512" s="31"/>
      <c r="H512" s="43"/>
    </row>
    <row r="513" spans="1:8" s="11" customFormat="1" ht="15" hidden="1" customHeight="1" outlineLevel="2" collapsed="1" thickBot="1" x14ac:dyDescent="0.25">
      <c r="A513" s="2">
        <f>A508+0.01</f>
        <v>2.94</v>
      </c>
      <c r="B513" s="1"/>
      <c r="C513" s="27"/>
      <c r="D513" s="6"/>
      <c r="E513" s="7"/>
      <c r="F513" s="7"/>
      <c r="G513" s="31"/>
      <c r="H513" s="43"/>
    </row>
    <row r="514" spans="1:8" s="11" customFormat="1" ht="15" hidden="1" customHeight="1" outlineLevel="3" thickBot="1" x14ac:dyDescent="0.25">
      <c r="A514" s="2"/>
      <c r="B514" s="1"/>
      <c r="C514" s="27"/>
      <c r="D514" s="6"/>
      <c r="E514" s="7"/>
      <c r="F514" s="7"/>
      <c r="G514" s="31"/>
      <c r="H514" s="43"/>
    </row>
    <row r="515" spans="1:8" s="11" customFormat="1" ht="15" hidden="1" customHeight="1" outlineLevel="3" thickBot="1" x14ac:dyDescent="0.25">
      <c r="A515" s="2"/>
      <c r="B515" s="1"/>
      <c r="C515" s="27"/>
      <c r="D515" s="6"/>
      <c r="E515" s="7"/>
      <c r="F515" s="7"/>
      <c r="G515" s="31"/>
      <c r="H515" s="43"/>
    </row>
    <row r="516" spans="1:8" s="11" customFormat="1" ht="15" hidden="1" customHeight="1" outlineLevel="3" thickBot="1" x14ac:dyDescent="0.25">
      <c r="A516" s="2"/>
      <c r="B516" s="1"/>
      <c r="C516" s="27"/>
      <c r="D516" s="6"/>
      <c r="E516" s="7"/>
      <c r="F516" s="7"/>
      <c r="G516" s="31"/>
      <c r="H516" s="43"/>
    </row>
    <row r="517" spans="1:8" s="11" customFormat="1" ht="15" hidden="1" customHeight="1" outlineLevel="3" thickBot="1" x14ac:dyDescent="0.25">
      <c r="A517" s="2"/>
      <c r="B517" s="1"/>
      <c r="C517" s="27"/>
      <c r="D517" s="6"/>
      <c r="E517" s="7"/>
      <c r="F517" s="7"/>
      <c r="G517" s="31"/>
      <c r="H517" s="43"/>
    </row>
    <row r="518" spans="1:8" s="11" customFormat="1" ht="15" hidden="1" customHeight="1" outlineLevel="2" thickBot="1" x14ac:dyDescent="0.25">
      <c r="A518" s="106">
        <f>A513+0.01</f>
        <v>2.9499999999999997</v>
      </c>
      <c r="B518" s="107"/>
      <c r="C518" s="27"/>
      <c r="D518" s="6"/>
      <c r="E518" s="7"/>
      <c r="F518" s="30"/>
      <c r="G518" s="31"/>
      <c r="H518" s="43"/>
    </row>
    <row r="519" spans="1:8" s="11" customFormat="1" ht="15" hidden="1" customHeight="1" outlineLevel="3" thickBot="1" x14ac:dyDescent="0.25">
      <c r="A519" s="2"/>
      <c r="B519" s="1"/>
      <c r="C519" s="27"/>
      <c r="D519" s="6"/>
      <c r="E519" s="7"/>
      <c r="F519" s="7"/>
      <c r="G519" s="31"/>
      <c r="H519" s="43"/>
    </row>
    <row r="520" spans="1:8" s="11" customFormat="1" ht="15" hidden="1" customHeight="1" outlineLevel="3" thickBot="1" x14ac:dyDescent="0.25">
      <c r="A520" s="2"/>
      <c r="B520" s="1"/>
      <c r="C520" s="27"/>
      <c r="D520" s="6"/>
      <c r="E520" s="7"/>
      <c r="F520" s="7"/>
      <c r="G520" s="31"/>
      <c r="H520" s="43"/>
    </row>
    <row r="521" spans="1:8" s="11" customFormat="1" ht="15" hidden="1" customHeight="1" outlineLevel="3" thickBot="1" x14ac:dyDescent="0.25">
      <c r="A521" s="2"/>
      <c r="B521" s="1"/>
      <c r="C521" s="27"/>
      <c r="D521" s="6"/>
      <c r="E521" s="7"/>
      <c r="F521" s="7"/>
      <c r="G521" s="31"/>
      <c r="H521" s="43"/>
    </row>
    <row r="522" spans="1:8" s="11" customFormat="1" ht="15" hidden="1" customHeight="1" outlineLevel="3" thickBot="1" x14ac:dyDescent="0.25">
      <c r="A522" s="2"/>
      <c r="B522" s="1"/>
      <c r="C522" s="27"/>
      <c r="D522" s="6"/>
      <c r="E522" s="7"/>
      <c r="F522" s="7"/>
      <c r="G522" s="31"/>
      <c r="H522" s="43"/>
    </row>
    <row r="523" spans="1:8" s="29" customFormat="1" ht="15" customHeight="1" thickBot="1" x14ac:dyDescent="0.25">
      <c r="A523" s="103" t="s">
        <v>23</v>
      </c>
      <c r="B523" s="104"/>
      <c r="C523" s="104"/>
      <c r="D523" s="104"/>
      <c r="E523" s="104"/>
      <c r="F523" s="104"/>
      <c r="G523" s="105"/>
      <c r="H523" s="38"/>
    </row>
    <row r="524" spans="1:8" s="8" customFormat="1" ht="12" customHeight="1" x14ac:dyDescent="0.2">
      <c r="A524" s="123">
        <v>3</v>
      </c>
      <c r="B524" s="124"/>
      <c r="C524" s="65" t="s">
        <v>51</v>
      </c>
      <c r="D524" s="41"/>
      <c r="E524" s="41"/>
      <c r="F524" s="41"/>
      <c r="G524" s="42"/>
      <c r="H524" s="71"/>
    </row>
    <row r="525" spans="1:8" s="11" customFormat="1" ht="15" customHeight="1" outlineLevel="1" x14ac:dyDescent="0.2">
      <c r="A525" s="2">
        <f>A524+0.1</f>
        <v>3.1</v>
      </c>
      <c r="B525" s="1"/>
      <c r="C525" s="28" t="s">
        <v>66</v>
      </c>
      <c r="D525" s="5"/>
      <c r="E525" s="72"/>
      <c r="F525" s="10"/>
      <c r="G525" s="73"/>
      <c r="H525" s="74"/>
    </row>
    <row r="526" spans="1:8" s="11" customFormat="1" ht="15" customHeight="1" outlineLevel="2" x14ac:dyDescent="0.2">
      <c r="A526" s="106">
        <f>A525+0.01</f>
        <v>3.11</v>
      </c>
      <c r="B526" s="107"/>
      <c r="C526" s="61" t="s">
        <v>67</v>
      </c>
      <c r="D526" s="7"/>
      <c r="E526" s="75"/>
      <c r="F526" s="75"/>
      <c r="G526" s="76"/>
      <c r="H526" s="43"/>
    </row>
    <row r="527" spans="1:8" s="11" customFormat="1" ht="15" customHeight="1" outlineLevel="3" x14ac:dyDescent="0.2">
      <c r="A527" s="2">
        <v>3.1110000000000002</v>
      </c>
      <c r="B527" s="1"/>
      <c r="C527" s="61" t="s">
        <v>69</v>
      </c>
      <c r="D527" s="7"/>
      <c r="E527" s="75"/>
      <c r="F527" s="75"/>
      <c r="G527" s="76"/>
      <c r="H527" s="43"/>
    </row>
    <row r="528" spans="1:8" s="11" customFormat="1" ht="33.75" outlineLevel="3" x14ac:dyDescent="0.2">
      <c r="A528" s="2"/>
      <c r="B528" s="1"/>
      <c r="C528" s="58" t="s">
        <v>133</v>
      </c>
      <c r="D528" s="6" t="s">
        <v>16</v>
      </c>
      <c r="E528" s="75">
        <v>16</v>
      </c>
      <c r="F528" s="75"/>
      <c r="G528" s="76"/>
      <c r="H528" s="43"/>
    </row>
    <row r="529" spans="1:8" s="11" customFormat="1" ht="56.25" outlineLevel="3" x14ac:dyDescent="0.2">
      <c r="A529" s="2"/>
      <c r="B529" s="1"/>
      <c r="C529" s="58" t="s">
        <v>131</v>
      </c>
      <c r="D529" s="6" t="s">
        <v>16</v>
      </c>
      <c r="E529" s="75">
        <f>E528</f>
        <v>16</v>
      </c>
      <c r="F529" s="75"/>
      <c r="G529" s="76"/>
      <c r="H529" s="43"/>
    </row>
    <row r="530" spans="1:8" s="11" customFormat="1" ht="15" customHeight="1" outlineLevel="3" x14ac:dyDescent="0.2">
      <c r="A530" s="2">
        <v>3.1120000000000001</v>
      </c>
      <c r="B530" s="1"/>
      <c r="C530" s="61" t="s">
        <v>70</v>
      </c>
      <c r="D530" s="7"/>
      <c r="E530" s="75"/>
      <c r="F530" s="75"/>
      <c r="G530" s="76"/>
      <c r="H530" s="43"/>
    </row>
    <row r="531" spans="1:8" s="11" customFormat="1" ht="33.75" outlineLevel="3" x14ac:dyDescent="0.2">
      <c r="A531" s="2"/>
      <c r="B531" s="1"/>
      <c r="C531" s="58" t="s">
        <v>88</v>
      </c>
      <c r="D531" s="6" t="s">
        <v>16</v>
      </c>
      <c r="E531" s="75">
        <v>16</v>
      </c>
      <c r="F531" s="75"/>
      <c r="G531" s="76"/>
      <c r="H531" s="43"/>
    </row>
    <row r="532" spans="1:8" s="11" customFormat="1" ht="33.75" outlineLevel="3" x14ac:dyDescent="0.2">
      <c r="A532" s="2"/>
      <c r="B532" s="1"/>
      <c r="C532" s="58" t="s">
        <v>89</v>
      </c>
      <c r="D532" s="6" t="s">
        <v>16</v>
      </c>
      <c r="E532" s="75">
        <v>48</v>
      </c>
      <c r="F532" s="75"/>
      <c r="G532" s="76"/>
      <c r="H532" s="43"/>
    </row>
    <row r="533" spans="1:8" s="11" customFormat="1" ht="33.75" outlineLevel="3" x14ac:dyDescent="0.2">
      <c r="A533" s="2"/>
      <c r="B533" s="1"/>
      <c r="C533" s="58" t="s">
        <v>87</v>
      </c>
      <c r="D533" s="6" t="s">
        <v>16</v>
      </c>
      <c r="E533" s="75">
        <f>E531+E532</f>
        <v>64</v>
      </c>
      <c r="F533" s="75"/>
      <c r="G533" s="76"/>
      <c r="H533" s="43"/>
    </row>
    <row r="534" spans="1:8" s="11" customFormat="1" ht="15" customHeight="1" outlineLevel="3" x14ac:dyDescent="0.2">
      <c r="A534" s="2">
        <v>3.113</v>
      </c>
      <c r="B534" s="1"/>
      <c r="C534" s="61" t="s">
        <v>71</v>
      </c>
      <c r="D534" s="7"/>
      <c r="E534" s="75"/>
      <c r="F534" s="75"/>
      <c r="G534" s="76"/>
      <c r="H534" s="43"/>
    </row>
    <row r="535" spans="1:8" s="11" customFormat="1" ht="33.75" outlineLevel="3" x14ac:dyDescent="0.2">
      <c r="A535" s="2"/>
      <c r="B535" s="1"/>
      <c r="C535" s="58" t="s">
        <v>72</v>
      </c>
      <c r="D535" s="6" t="s">
        <v>16</v>
      </c>
      <c r="E535" s="75">
        <v>16</v>
      </c>
      <c r="F535" s="75"/>
      <c r="G535" s="76"/>
      <c r="H535" s="43"/>
    </row>
    <row r="536" spans="1:8" s="11" customFormat="1" ht="15" hidden="1" customHeight="1" outlineLevel="3" x14ac:dyDescent="0.2">
      <c r="A536" s="2"/>
      <c r="B536" s="1"/>
      <c r="C536" s="27"/>
      <c r="D536" s="6"/>
      <c r="E536" s="82"/>
      <c r="F536" s="75"/>
      <c r="G536" s="76"/>
      <c r="H536" s="43"/>
    </row>
    <row r="537" spans="1:8" s="11" customFormat="1" ht="15" hidden="1" customHeight="1" outlineLevel="3" x14ac:dyDescent="0.2">
      <c r="A537" s="2"/>
      <c r="B537" s="1"/>
      <c r="C537" s="27"/>
      <c r="D537" s="6"/>
      <c r="E537" s="82"/>
      <c r="F537" s="75"/>
      <c r="G537" s="76"/>
      <c r="H537" s="43"/>
    </row>
    <row r="538" spans="1:8" s="11" customFormat="1" ht="15" hidden="1" customHeight="1" outlineLevel="3" x14ac:dyDescent="0.2">
      <c r="A538" s="2"/>
      <c r="B538" s="1"/>
      <c r="C538" s="27"/>
      <c r="D538" s="6"/>
      <c r="E538" s="82"/>
      <c r="F538" s="75"/>
      <c r="G538" s="76"/>
      <c r="H538" s="43"/>
    </row>
    <row r="539" spans="1:8" s="11" customFormat="1" ht="15" hidden="1" customHeight="1" outlineLevel="3" x14ac:dyDescent="0.2">
      <c r="A539" s="2"/>
      <c r="B539" s="1"/>
      <c r="C539" s="27"/>
      <c r="D539" s="6"/>
      <c r="E539" s="82"/>
      <c r="F539" s="75"/>
      <c r="G539" s="76"/>
      <c r="H539" s="43"/>
    </row>
    <row r="540" spans="1:8" s="11" customFormat="1" ht="15" hidden="1" customHeight="1" outlineLevel="3" x14ac:dyDescent="0.2">
      <c r="A540" s="2"/>
      <c r="B540" s="1"/>
      <c r="C540" s="27"/>
      <c r="D540" s="6"/>
      <c r="E540" s="82"/>
      <c r="F540" s="75"/>
      <c r="G540" s="76"/>
      <c r="H540" s="43"/>
    </row>
    <row r="541" spans="1:8" s="11" customFormat="1" ht="15" hidden="1" customHeight="1" outlineLevel="3" x14ac:dyDescent="0.2">
      <c r="A541" s="2"/>
      <c r="B541" s="1"/>
      <c r="C541" s="27"/>
      <c r="D541" s="6"/>
      <c r="E541" s="82"/>
      <c r="F541" s="75"/>
      <c r="G541" s="76"/>
      <c r="H541" s="43"/>
    </row>
    <row r="542" spans="1:8" s="11" customFormat="1" ht="15" customHeight="1" outlineLevel="2" x14ac:dyDescent="0.2">
      <c r="A542" s="106">
        <f>A526+0.01</f>
        <v>3.1199999999999997</v>
      </c>
      <c r="B542" s="107"/>
      <c r="C542" s="67" t="s">
        <v>68</v>
      </c>
      <c r="D542" s="7"/>
      <c r="E542" s="75"/>
      <c r="F542" s="75"/>
      <c r="G542" s="76"/>
      <c r="H542" s="43"/>
    </row>
    <row r="543" spans="1:8" s="11" customFormat="1" ht="15" customHeight="1" outlineLevel="3" x14ac:dyDescent="0.2">
      <c r="A543" s="2">
        <v>3.121</v>
      </c>
      <c r="B543" s="1"/>
      <c r="C543" s="61" t="s">
        <v>69</v>
      </c>
      <c r="D543" s="7"/>
      <c r="E543" s="75"/>
      <c r="F543" s="75"/>
      <c r="G543" s="76"/>
      <c r="H543" s="43"/>
    </row>
    <row r="544" spans="1:8" s="11" customFormat="1" ht="33.75" outlineLevel="3" x14ac:dyDescent="0.2">
      <c r="A544" s="2"/>
      <c r="B544" s="1"/>
      <c r="C544" s="58" t="s">
        <v>132</v>
      </c>
      <c r="D544" s="6" t="s">
        <v>16</v>
      </c>
      <c r="E544" s="75">
        <v>2</v>
      </c>
      <c r="F544" s="75"/>
      <c r="G544" s="76"/>
      <c r="H544" s="43"/>
    </row>
    <row r="545" spans="1:8" s="11" customFormat="1" ht="56.25" outlineLevel="3" x14ac:dyDescent="0.2">
      <c r="A545" s="2"/>
      <c r="B545" s="1"/>
      <c r="C545" s="58" t="s">
        <v>131</v>
      </c>
      <c r="D545" s="6" t="s">
        <v>16</v>
      </c>
      <c r="E545" s="75">
        <f>E544</f>
        <v>2</v>
      </c>
      <c r="F545" s="75"/>
      <c r="G545" s="76"/>
      <c r="H545" s="43"/>
    </row>
    <row r="546" spans="1:8" s="11" customFormat="1" ht="15" customHeight="1" outlineLevel="3" x14ac:dyDescent="0.2">
      <c r="A546" s="2">
        <v>3.1219999999999999</v>
      </c>
      <c r="B546" s="1"/>
      <c r="C546" s="61" t="s">
        <v>70</v>
      </c>
      <c r="D546" s="7"/>
      <c r="E546" s="75"/>
      <c r="F546" s="75"/>
      <c r="G546" s="76"/>
      <c r="H546" s="43"/>
    </row>
    <row r="547" spans="1:8" s="11" customFormat="1" ht="33.75" outlineLevel="3" x14ac:dyDescent="0.2">
      <c r="A547" s="2"/>
      <c r="B547" s="1"/>
      <c r="C547" s="58" t="s">
        <v>90</v>
      </c>
      <c r="D547" s="6" t="s">
        <v>16</v>
      </c>
      <c r="E547" s="75">
        <v>2</v>
      </c>
      <c r="F547" s="75"/>
      <c r="G547" s="76"/>
      <c r="H547" s="43"/>
    </row>
    <row r="548" spans="1:8" s="11" customFormat="1" ht="33.75" outlineLevel="3" x14ac:dyDescent="0.2">
      <c r="A548" s="2"/>
      <c r="B548" s="1"/>
      <c r="C548" s="58" t="s">
        <v>89</v>
      </c>
      <c r="D548" s="6" t="s">
        <v>16</v>
      </c>
      <c r="E548" s="75">
        <v>4</v>
      </c>
      <c r="F548" s="75"/>
      <c r="G548" s="76"/>
      <c r="H548" s="43"/>
    </row>
    <row r="549" spans="1:8" s="11" customFormat="1" ht="33.75" outlineLevel="3" x14ac:dyDescent="0.2">
      <c r="A549" s="2"/>
      <c r="B549" s="1"/>
      <c r="C549" s="58" t="s">
        <v>87</v>
      </c>
      <c r="D549" s="6" t="s">
        <v>16</v>
      </c>
      <c r="E549" s="75">
        <f>E547+E548</f>
        <v>6</v>
      </c>
      <c r="F549" s="75"/>
      <c r="G549" s="76"/>
      <c r="H549" s="43"/>
    </row>
    <row r="550" spans="1:8" s="11" customFormat="1" ht="15" customHeight="1" outlineLevel="3" x14ac:dyDescent="0.2">
      <c r="A550" s="2">
        <v>3.1230000000000002</v>
      </c>
      <c r="B550" s="1"/>
      <c r="C550" s="61" t="s">
        <v>71</v>
      </c>
      <c r="D550" s="7"/>
      <c r="E550" s="75"/>
      <c r="F550" s="75"/>
      <c r="G550" s="76"/>
      <c r="H550" s="43"/>
    </row>
    <row r="551" spans="1:8" s="11" customFormat="1" ht="33.75" outlineLevel="3" x14ac:dyDescent="0.2">
      <c r="A551" s="2"/>
      <c r="B551" s="1"/>
      <c r="C551" s="58" t="s">
        <v>73</v>
      </c>
      <c r="D551" s="6" t="s">
        <v>16</v>
      </c>
      <c r="E551" s="75">
        <v>2</v>
      </c>
      <c r="F551" s="75"/>
      <c r="G551" s="76"/>
      <c r="H551" s="43"/>
    </row>
    <row r="552" spans="1:8" s="11" customFormat="1" ht="15" hidden="1" customHeight="1" outlineLevel="3" x14ac:dyDescent="0.2">
      <c r="A552" s="2"/>
      <c r="B552" s="1"/>
      <c r="C552" s="27"/>
      <c r="D552" s="6"/>
      <c r="E552" s="75"/>
      <c r="F552" s="75"/>
      <c r="G552" s="76"/>
      <c r="H552" s="43"/>
    </row>
    <row r="553" spans="1:8" s="11" customFormat="1" ht="15" hidden="1" customHeight="1" outlineLevel="2" collapsed="1" x14ac:dyDescent="0.2">
      <c r="A553" s="106">
        <f>A542+0.01</f>
        <v>3.1299999999999994</v>
      </c>
      <c r="B553" s="107"/>
      <c r="C553" s="27"/>
      <c r="D553" s="6"/>
      <c r="E553" s="75"/>
      <c r="F553" s="75"/>
      <c r="G553" s="76"/>
      <c r="H553" s="43"/>
    </row>
    <row r="554" spans="1:8" s="11" customFormat="1" ht="15" hidden="1" customHeight="1" outlineLevel="3" x14ac:dyDescent="0.2">
      <c r="A554" s="2"/>
      <c r="B554" s="1"/>
      <c r="C554" s="27"/>
      <c r="D554" s="6"/>
      <c r="E554" s="75"/>
      <c r="F554" s="75"/>
      <c r="G554" s="76"/>
      <c r="H554" s="43"/>
    </row>
    <row r="555" spans="1:8" s="11" customFormat="1" ht="15" hidden="1" customHeight="1" outlineLevel="3" x14ac:dyDescent="0.2">
      <c r="A555" s="2"/>
      <c r="B555" s="1"/>
      <c r="C555" s="27"/>
      <c r="D555" s="6"/>
      <c r="E555" s="75"/>
      <c r="F555" s="75"/>
      <c r="G555" s="76"/>
      <c r="H555" s="43"/>
    </row>
    <row r="556" spans="1:8" s="11" customFormat="1" ht="15" hidden="1" customHeight="1" outlineLevel="3" x14ac:dyDescent="0.2">
      <c r="A556" s="2"/>
      <c r="B556" s="1"/>
      <c r="C556" s="27"/>
      <c r="D556" s="6"/>
      <c r="E556" s="75"/>
      <c r="F556" s="75"/>
      <c r="G556" s="76"/>
      <c r="H556" s="43"/>
    </row>
    <row r="557" spans="1:8" s="11" customFormat="1" ht="15" hidden="1" customHeight="1" outlineLevel="3" x14ac:dyDescent="0.2">
      <c r="A557" s="2"/>
      <c r="B557" s="1"/>
      <c r="C557" s="27"/>
      <c r="D557" s="6"/>
      <c r="E557" s="75"/>
      <c r="F557" s="75"/>
      <c r="G557" s="76"/>
      <c r="H557" s="43"/>
    </row>
    <row r="558" spans="1:8" s="11" customFormat="1" ht="15" hidden="1" customHeight="1" outlineLevel="2" collapsed="1" x14ac:dyDescent="0.2">
      <c r="A558" s="2">
        <f>A553+0.01</f>
        <v>3.1399999999999992</v>
      </c>
      <c r="B558" s="1"/>
      <c r="C558" s="27"/>
      <c r="D558" s="6"/>
      <c r="E558" s="75"/>
      <c r="F558" s="75"/>
      <c r="G558" s="76"/>
      <c r="H558" s="43"/>
    </row>
    <row r="559" spans="1:8" s="11" customFormat="1" ht="15" hidden="1" customHeight="1" outlineLevel="3" x14ac:dyDescent="0.2">
      <c r="A559" s="2"/>
      <c r="B559" s="1"/>
      <c r="C559" s="27"/>
      <c r="D559" s="6"/>
      <c r="E559" s="75"/>
      <c r="F559" s="75"/>
      <c r="G559" s="76"/>
      <c r="H559" s="43"/>
    </row>
    <row r="560" spans="1:8" s="11" customFormat="1" ht="15" hidden="1" customHeight="1" outlineLevel="3" x14ac:dyDescent="0.2">
      <c r="A560" s="2"/>
      <c r="B560" s="1"/>
      <c r="C560" s="27"/>
      <c r="D560" s="6"/>
      <c r="E560" s="75"/>
      <c r="F560" s="75"/>
      <c r="G560" s="76"/>
      <c r="H560" s="43"/>
    </row>
    <row r="561" spans="1:8" s="11" customFormat="1" ht="15" hidden="1" customHeight="1" outlineLevel="3" x14ac:dyDescent="0.2">
      <c r="A561" s="2"/>
      <c r="B561" s="1"/>
      <c r="C561" s="27"/>
      <c r="D561" s="6"/>
      <c r="E561" s="75"/>
      <c r="F561" s="75"/>
      <c r="G561" s="76"/>
      <c r="H561" s="43"/>
    </row>
    <row r="562" spans="1:8" s="11" customFormat="1" ht="15" hidden="1" customHeight="1" outlineLevel="3" x14ac:dyDescent="0.2">
      <c r="A562" s="2"/>
      <c r="B562" s="1"/>
      <c r="C562" s="27"/>
      <c r="D562" s="6"/>
      <c r="E562" s="75"/>
      <c r="F562" s="75"/>
      <c r="G562" s="76"/>
      <c r="H562" s="43"/>
    </row>
    <row r="563" spans="1:8" s="11" customFormat="1" ht="15" hidden="1" customHeight="1" outlineLevel="2" collapsed="1" x14ac:dyDescent="0.2">
      <c r="A563" s="106">
        <f>A558+0.01</f>
        <v>3.149999999999999</v>
      </c>
      <c r="B563" s="107"/>
      <c r="C563" s="27"/>
      <c r="D563" s="6"/>
      <c r="E563" s="75"/>
      <c r="F563" s="77"/>
      <c r="G563" s="76"/>
      <c r="H563" s="43"/>
    </row>
    <row r="564" spans="1:8" s="11" customFormat="1" ht="15" hidden="1" customHeight="1" outlineLevel="3" x14ac:dyDescent="0.2">
      <c r="A564" s="2"/>
      <c r="B564" s="1"/>
      <c r="C564" s="27"/>
      <c r="D564" s="6"/>
      <c r="E564" s="75"/>
      <c r="F564" s="75"/>
      <c r="G564" s="76"/>
      <c r="H564" s="43"/>
    </row>
    <row r="565" spans="1:8" s="11" customFormat="1" ht="15" hidden="1" customHeight="1" outlineLevel="3" x14ac:dyDescent="0.2">
      <c r="A565" s="2"/>
      <c r="B565" s="1"/>
      <c r="C565" s="27"/>
      <c r="D565" s="6"/>
      <c r="E565" s="75"/>
      <c r="F565" s="75"/>
      <c r="G565" s="76"/>
      <c r="H565" s="43"/>
    </row>
    <row r="566" spans="1:8" s="11" customFormat="1" ht="15" hidden="1" customHeight="1" outlineLevel="3" x14ac:dyDescent="0.2">
      <c r="A566" s="2"/>
      <c r="B566" s="1"/>
      <c r="C566" s="27"/>
      <c r="D566" s="6"/>
      <c r="E566" s="75"/>
      <c r="F566" s="75"/>
      <c r="G566" s="76"/>
      <c r="H566" s="43"/>
    </row>
    <row r="567" spans="1:8" s="11" customFormat="1" ht="15" hidden="1" customHeight="1" outlineLevel="3" x14ac:dyDescent="0.2">
      <c r="A567" s="2"/>
      <c r="B567" s="1"/>
      <c r="C567" s="27"/>
      <c r="D567" s="6"/>
      <c r="E567" s="75"/>
      <c r="F567" s="75"/>
      <c r="G567" s="76"/>
      <c r="H567" s="43"/>
    </row>
    <row r="568" spans="1:8" s="11" customFormat="1" ht="15" customHeight="1" outlineLevel="1" x14ac:dyDescent="0.2">
      <c r="A568" s="2">
        <f>A525+0.1</f>
        <v>3.2</v>
      </c>
      <c r="B568" s="1"/>
      <c r="C568" s="28" t="s">
        <v>74</v>
      </c>
      <c r="D568" s="5"/>
      <c r="E568" s="72"/>
      <c r="F568" s="10"/>
      <c r="G568" s="73"/>
      <c r="H568" s="74"/>
    </row>
    <row r="569" spans="1:8" s="11" customFormat="1" ht="56.25" outlineLevel="2" collapsed="1" x14ac:dyDescent="0.2">
      <c r="A569" s="106"/>
      <c r="B569" s="107"/>
      <c r="C569" s="58" t="s">
        <v>86</v>
      </c>
      <c r="D569" s="6" t="s">
        <v>17</v>
      </c>
      <c r="E569" s="75">
        <v>18</v>
      </c>
      <c r="F569" s="75"/>
      <c r="G569" s="76"/>
      <c r="H569" s="43"/>
    </row>
    <row r="570" spans="1:8" s="11" customFormat="1" ht="15" hidden="1" customHeight="1" outlineLevel="3" x14ac:dyDescent="0.2">
      <c r="A570" s="2"/>
      <c r="B570" s="1"/>
      <c r="C570" s="27"/>
      <c r="D570" s="6"/>
      <c r="E570" s="75"/>
      <c r="F570" s="75"/>
      <c r="G570" s="76"/>
      <c r="H570" s="43"/>
    </row>
    <row r="571" spans="1:8" s="11" customFormat="1" ht="15" hidden="1" customHeight="1" outlineLevel="3" x14ac:dyDescent="0.2">
      <c r="A571" s="2"/>
      <c r="B571" s="1"/>
      <c r="C571" s="27"/>
      <c r="D571" s="6"/>
      <c r="E571" s="75"/>
      <c r="F571" s="75"/>
      <c r="G571" s="76"/>
      <c r="H571" s="43"/>
    </row>
    <row r="572" spans="1:8" s="11" customFormat="1" ht="15" hidden="1" customHeight="1" outlineLevel="3" x14ac:dyDescent="0.2">
      <c r="A572" s="2"/>
      <c r="B572" s="1"/>
      <c r="C572" s="27"/>
      <c r="D572" s="6"/>
      <c r="E572" s="75"/>
      <c r="F572" s="75"/>
      <c r="G572" s="76"/>
      <c r="H572" s="43"/>
    </row>
    <row r="573" spans="1:8" s="11" customFormat="1" ht="15" hidden="1" customHeight="1" outlineLevel="3" x14ac:dyDescent="0.2">
      <c r="A573" s="2"/>
      <c r="B573" s="1"/>
      <c r="C573" s="27"/>
      <c r="D573" s="6"/>
      <c r="E573" s="75"/>
      <c r="F573" s="75"/>
      <c r="G573" s="76"/>
      <c r="H573" s="43"/>
    </row>
    <row r="574" spans="1:8" s="11" customFormat="1" ht="15" hidden="1" customHeight="1" outlineLevel="2" collapsed="1" x14ac:dyDescent="0.2">
      <c r="A574" s="106">
        <f>A569+0.01</f>
        <v>0.01</v>
      </c>
      <c r="B574" s="107"/>
      <c r="C574" s="27"/>
      <c r="D574" s="6"/>
      <c r="E574" s="75"/>
      <c r="F574" s="75"/>
      <c r="G574" s="76"/>
      <c r="H574" s="43"/>
    </row>
    <row r="575" spans="1:8" s="11" customFormat="1" ht="15" hidden="1" customHeight="1" outlineLevel="3" x14ac:dyDescent="0.2">
      <c r="A575" s="2"/>
      <c r="B575" s="1"/>
      <c r="C575" s="27"/>
      <c r="D575" s="6"/>
      <c r="E575" s="75"/>
      <c r="F575" s="75"/>
      <c r="G575" s="76"/>
      <c r="H575" s="43"/>
    </row>
    <row r="576" spans="1:8" s="11" customFormat="1" ht="15" hidden="1" customHeight="1" outlineLevel="3" x14ac:dyDescent="0.2">
      <c r="A576" s="2"/>
      <c r="B576" s="1"/>
      <c r="C576" s="27"/>
      <c r="D576" s="6"/>
      <c r="E576" s="75"/>
      <c r="F576" s="75"/>
      <c r="G576" s="76"/>
      <c r="H576" s="43"/>
    </row>
    <row r="577" spans="1:8" s="11" customFormat="1" ht="15" hidden="1" customHeight="1" outlineLevel="3" x14ac:dyDescent="0.2">
      <c r="A577" s="2"/>
      <c r="B577" s="1"/>
      <c r="C577" s="27"/>
      <c r="D577" s="6"/>
      <c r="E577" s="75"/>
      <c r="F577" s="75"/>
      <c r="G577" s="76"/>
      <c r="H577" s="43"/>
    </row>
    <row r="578" spans="1:8" s="11" customFormat="1" ht="15" hidden="1" customHeight="1" outlineLevel="3" x14ac:dyDescent="0.2">
      <c r="A578" s="2"/>
      <c r="B578" s="1"/>
      <c r="C578" s="27"/>
      <c r="D578" s="6"/>
      <c r="E578" s="75"/>
      <c r="F578" s="75"/>
      <c r="G578" s="76"/>
      <c r="H578" s="43"/>
    </row>
    <row r="579" spans="1:8" s="11" customFormat="1" ht="15" hidden="1" customHeight="1" outlineLevel="2" collapsed="1" x14ac:dyDescent="0.2">
      <c r="A579" s="106">
        <f>A574+0.01</f>
        <v>0.02</v>
      </c>
      <c r="B579" s="107"/>
      <c r="C579" s="27"/>
      <c r="D579" s="6"/>
      <c r="E579" s="75"/>
      <c r="F579" s="75"/>
      <c r="G579" s="76"/>
      <c r="H579" s="43"/>
    </row>
    <row r="580" spans="1:8" s="11" customFormat="1" ht="15" hidden="1" customHeight="1" outlineLevel="3" x14ac:dyDescent="0.2">
      <c r="A580" s="2"/>
      <c r="B580" s="1"/>
      <c r="C580" s="27"/>
      <c r="D580" s="6"/>
      <c r="E580" s="75"/>
      <c r="F580" s="75"/>
      <c r="G580" s="76"/>
      <c r="H580" s="43"/>
    </row>
    <row r="581" spans="1:8" s="11" customFormat="1" ht="15" hidden="1" customHeight="1" outlineLevel="3" x14ac:dyDescent="0.2">
      <c r="A581" s="2"/>
      <c r="B581" s="1"/>
      <c r="C581" s="27"/>
      <c r="D581" s="6"/>
      <c r="E581" s="75"/>
      <c r="F581" s="75"/>
      <c r="G581" s="76"/>
      <c r="H581" s="43"/>
    </row>
    <row r="582" spans="1:8" s="11" customFormat="1" ht="15" hidden="1" customHeight="1" outlineLevel="3" x14ac:dyDescent="0.2">
      <c r="A582" s="2"/>
      <c r="B582" s="1"/>
      <c r="C582" s="27"/>
      <c r="D582" s="6"/>
      <c r="E582" s="75"/>
      <c r="F582" s="75"/>
      <c r="G582" s="76"/>
      <c r="H582" s="43"/>
    </row>
    <row r="583" spans="1:8" s="11" customFormat="1" ht="15" hidden="1" customHeight="1" outlineLevel="3" x14ac:dyDescent="0.2">
      <c r="A583" s="2"/>
      <c r="B583" s="1"/>
      <c r="C583" s="27"/>
      <c r="D583" s="6"/>
      <c r="E583" s="75"/>
      <c r="F583" s="75"/>
      <c r="G583" s="76"/>
      <c r="H583" s="43"/>
    </row>
    <row r="584" spans="1:8" s="11" customFormat="1" ht="15" hidden="1" customHeight="1" outlineLevel="2" collapsed="1" x14ac:dyDescent="0.2">
      <c r="A584" s="2">
        <f>A579+0.01</f>
        <v>0.03</v>
      </c>
      <c r="B584" s="1"/>
      <c r="C584" s="27"/>
      <c r="D584" s="6"/>
      <c r="E584" s="75"/>
      <c r="F584" s="75"/>
      <c r="G584" s="76"/>
      <c r="H584" s="43"/>
    </row>
    <row r="585" spans="1:8" s="11" customFormat="1" ht="15" hidden="1" customHeight="1" outlineLevel="3" x14ac:dyDescent="0.2">
      <c r="A585" s="2"/>
      <c r="B585" s="1"/>
      <c r="C585" s="27"/>
      <c r="D585" s="6"/>
      <c r="E585" s="75"/>
      <c r="F585" s="75"/>
      <c r="G585" s="76"/>
      <c r="H585" s="43"/>
    </row>
    <row r="586" spans="1:8" s="11" customFormat="1" ht="15" hidden="1" customHeight="1" outlineLevel="3" x14ac:dyDescent="0.2">
      <c r="A586" s="2"/>
      <c r="B586" s="1"/>
      <c r="C586" s="27"/>
      <c r="D586" s="6"/>
      <c r="E586" s="75"/>
      <c r="F586" s="75"/>
      <c r="G586" s="76"/>
      <c r="H586" s="43"/>
    </row>
    <row r="587" spans="1:8" s="11" customFormat="1" ht="15" hidden="1" customHeight="1" outlineLevel="3" x14ac:dyDescent="0.2">
      <c r="A587" s="2"/>
      <c r="B587" s="1"/>
      <c r="C587" s="27"/>
      <c r="D587" s="6"/>
      <c r="E587" s="75"/>
      <c r="F587" s="75"/>
      <c r="G587" s="76"/>
      <c r="H587" s="43"/>
    </row>
    <row r="588" spans="1:8" s="11" customFormat="1" ht="15" hidden="1" customHeight="1" outlineLevel="3" x14ac:dyDescent="0.2">
      <c r="A588" s="2"/>
      <c r="B588" s="1"/>
      <c r="C588" s="27"/>
      <c r="D588" s="6"/>
      <c r="E588" s="75"/>
      <c r="F588" s="75"/>
      <c r="G588" s="76"/>
      <c r="H588" s="43"/>
    </row>
    <row r="589" spans="1:8" s="11" customFormat="1" ht="15" hidden="1" customHeight="1" outlineLevel="2" collapsed="1" x14ac:dyDescent="0.2">
      <c r="A589" s="106">
        <f>A584+0.01</f>
        <v>0.04</v>
      </c>
      <c r="B589" s="107"/>
      <c r="C589" s="27"/>
      <c r="D589" s="6"/>
      <c r="E589" s="75"/>
      <c r="F589" s="77"/>
      <c r="G589" s="76"/>
      <c r="H589" s="43"/>
    </row>
    <row r="590" spans="1:8" s="11" customFormat="1" ht="15" hidden="1" customHeight="1" outlineLevel="3" x14ac:dyDescent="0.2">
      <c r="A590" s="2"/>
      <c r="B590" s="1"/>
      <c r="C590" s="27"/>
      <c r="D590" s="6"/>
      <c r="E590" s="75"/>
      <c r="F590" s="75"/>
      <c r="G590" s="76"/>
      <c r="H590" s="43"/>
    </row>
    <row r="591" spans="1:8" s="11" customFormat="1" ht="15" hidden="1" customHeight="1" outlineLevel="3" x14ac:dyDescent="0.2">
      <c r="A591" s="2"/>
      <c r="B591" s="1"/>
      <c r="C591" s="27"/>
      <c r="D591" s="6"/>
      <c r="E591" s="75"/>
      <c r="F591" s="75"/>
      <c r="G591" s="76"/>
      <c r="H591" s="43"/>
    </row>
    <row r="592" spans="1:8" s="11" customFormat="1" ht="15" hidden="1" customHeight="1" outlineLevel="3" x14ac:dyDescent="0.2">
      <c r="A592" s="2"/>
      <c r="B592" s="1"/>
      <c r="C592" s="27"/>
      <c r="D592" s="6"/>
      <c r="E592" s="75"/>
      <c r="F592" s="75"/>
      <c r="G592" s="76"/>
      <c r="H592" s="43"/>
    </row>
    <row r="593" spans="1:8" s="11" customFormat="1" ht="15" hidden="1" customHeight="1" outlineLevel="3" x14ac:dyDescent="0.2">
      <c r="A593" s="2"/>
      <c r="B593" s="1"/>
      <c r="C593" s="27"/>
      <c r="D593" s="6"/>
      <c r="E593" s="75"/>
      <c r="F593" s="75"/>
      <c r="G593" s="76"/>
      <c r="H593" s="43"/>
    </row>
    <row r="594" spans="1:8" s="11" customFormat="1" ht="15" customHeight="1" outlineLevel="1" x14ac:dyDescent="0.2">
      <c r="A594" s="2">
        <f>A568+0.1</f>
        <v>3.3000000000000003</v>
      </c>
      <c r="B594" s="1"/>
      <c r="C594" s="28" t="s">
        <v>75</v>
      </c>
      <c r="D594" s="5"/>
      <c r="E594" s="72"/>
      <c r="F594" s="10"/>
      <c r="G594" s="73"/>
      <c r="H594" s="74"/>
    </row>
    <row r="595" spans="1:8" s="11" customFormat="1" ht="15" customHeight="1" outlineLevel="2" x14ac:dyDescent="0.2">
      <c r="A595" s="106"/>
      <c r="B595" s="107"/>
      <c r="C595" s="61" t="s">
        <v>81</v>
      </c>
      <c r="D595" s="7"/>
      <c r="E595" s="75"/>
      <c r="F595" s="75"/>
      <c r="G595" s="76"/>
      <c r="H595" s="43"/>
    </row>
    <row r="596" spans="1:8" s="11" customFormat="1" ht="22.5" outlineLevel="3" x14ac:dyDescent="0.2">
      <c r="A596" s="2"/>
      <c r="B596" s="1"/>
      <c r="C596" s="58" t="s">
        <v>82</v>
      </c>
      <c r="D596" s="6" t="s">
        <v>16</v>
      </c>
      <c r="E596" s="75">
        <v>18</v>
      </c>
      <c r="F596" s="75"/>
      <c r="G596" s="76"/>
      <c r="H596" s="43"/>
    </row>
    <row r="597" spans="1:8" s="11" customFormat="1" ht="22.5" outlineLevel="3" x14ac:dyDescent="0.2">
      <c r="A597" s="2"/>
      <c r="B597" s="1"/>
      <c r="C597" s="58" t="s">
        <v>83</v>
      </c>
      <c r="D597" s="6" t="s">
        <v>16</v>
      </c>
      <c r="E597" s="75">
        <v>18</v>
      </c>
      <c r="F597" s="75"/>
      <c r="G597" s="76"/>
      <c r="H597" s="43"/>
    </row>
    <row r="598" spans="1:8" s="11" customFormat="1" ht="15" hidden="1" customHeight="1" outlineLevel="3" x14ac:dyDescent="0.2">
      <c r="A598" s="2"/>
      <c r="B598" s="1"/>
      <c r="C598" s="61"/>
      <c r="D598" s="6"/>
      <c r="E598" s="75"/>
      <c r="F598" s="75"/>
      <c r="G598" s="76"/>
      <c r="H598" s="43"/>
    </row>
    <row r="599" spans="1:8" s="11" customFormat="1" ht="15" hidden="1" customHeight="1" outlineLevel="3" x14ac:dyDescent="0.2">
      <c r="A599" s="2"/>
      <c r="B599" s="1"/>
      <c r="C599" s="27"/>
      <c r="D599" s="6"/>
      <c r="E599" s="75"/>
      <c r="F599" s="75"/>
      <c r="G599" s="76"/>
      <c r="H599" s="43"/>
    </row>
    <row r="600" spans="1:8" s="11" customFormat="1" ht="15" customHeight="1" outlineLevel="2" x14ac:dyDescent="0.2">
      <c r="A600" s="106"/>
      <c r="B600" s="107"/>
      <c r="C600" s="61" t="s">
        <v>80</v>
      </c>
      <c r="D600" s="7"/>
      <c r="E600" s="75"/>
      <c r="F600" s="75"/>
      <c r="G600" s="76"/>
      <c r="H600" s="43"/>
    </row>
    <row r="601" spans="1:8" s="11" customFormat="1" ht="22.5" outlineLevel="3" x14ac:dyDescent="0.2">
      <c r="A601" s="2"/>
      <c r="B601" s="1"/>
      <c r="C601" s="56" t="s">
        <v>85</v>
      </c>
      <c r="D601" s="6" t="s">
        <v>16</v>
      </c>
      <c r="E601" s="75">
        <f>E531+E532+E547+E548</f>
        <v>70</v>
      </c>
      <c r="F601" s="75"/>
      <c r="G601" s="76"/>
      <c r="H601" s="43"/>
    </row>
    <row r="602" spans="1:8" s="11" customFormat="1" ht="22.5" outlineLevel="3" x14ac:dyDescent="0.2">
      <c r="A602" s="2"/>
      <c r="B602" s="1"/>
      <c r="C602" s="56" t="s">
        <v>84</v>
      </c>
      <c r="D602" s="6" t="s">
        <v>16</v>
      </c>
      <c r="E602" s="75">
        <v>18</v>
      </c>
      <c r="F602" s="75"/>
      <c r="G602" s="76"/>
      <c r="H602" s="43"/>
    </row>
    <row r="603" spans="1:8" s="11" customFormat="1" ht="15" hidden="1" customHeight="1" outlineLevel="3" x14ac:dyDescent="0.2">
      <c r="A603" s="2"/>
      <c r="B603" s="1"/>
      <c r="C603" s="27"/>
      <c r="D603" s="6"/>
      <c r="E603" s="75"/>
      <c r="F603" s="75"/>
      <c r="G603" s="76"/>
      <c r="H603" s="43"/>
    </row>
    <row r="604" spans="1:8" s="11" customFormat="1" ht="15" hidden="1" customHeight="1" outlineLevel="3" x14ac:dyDescent="0.2">
      <c r="A604" s="2"/>
      <c r="B604" s="1"/>
      <c r="C604" s="27"/>
      <c r="D604" s="6"/>
      <c r="E604" s="75"/>
      <c r="F604" s="75"/>
      <c r="G604" s="76"/>
      <c r="H604" s="43"/>
    </row>
    <row r="605" spans="1:8" s="11" customFormat="1" ht="15" hidden="1" customHeight="1" outlineLevel="2" collapsed="1" x14ac:dyDescent="0.2">
      <c r="A605" s="106">
        <f>A600+0.01</f>
        <v>0.01</v>
      </c>
      <c r="B605" s="107"/>
      <c r="C605" s="27"/>
      <c r="D605" s="6"/>
      <c r="E605" s="75"/>
      <c r="F605" s="75"/>
      <c r="G605" s="76"/>
      <c r="H605" s="43"/>
    </row>
    <row r="606" spans="1:8" s="11" customFormat="1" ht="15" hidden="1" customHeight="1" outlineLevel="3" x14ac:dyDescent="0.2">
      <c r="A606" s="2"/>
      <c r="B606" s="1"/>
      <c r="C606" s="27"/>
      <c r="D606" s="6"/>
      <c r="E606" s="75"/>
      <c r="F606" s="75"/>
      <c r="G606" s="76"/>
      <c r="H606" s="43"/>
    </row>
    <row r="607" spans="1:8" s="11" customFormat="1" ht="15" hidden="1" customHeight="1" outlineLevel="3" x14ac:dyDescent="0.2">
      <c r="A607" s="2"/>
      <c r="B607" s="1"/>
      <c r="C607" s="27"/>
      <c r="D607" s="6"/>
      <c r="E607" s="75"/>
      <c r="F607" s="75"/>
      <c r="G607" s="76"/>
      <c r="H607" s="43"/>
    </row>
    <row r="608" spans="1:8" s="11" customFormat="1" ht="15" hidden="1" customHeight="1" outlineLevel="3" x14ac:dyDescent="0.2">
      <c r="A608" s="2"/>
      <c r="B608" s="1"/>
      <c r="C608" s="27"/>
      <c r="D608" s="6"/>
      <c r="E608" s="75"/>
      <c r="F608" s="75"/>
      <c r="G608" s="76"/>
      <c r="H608" s="43"/>
    </row>
    <row r="609" spans="1:8" s="11" customFormat="1" ht="15" hidden="1" customHeight="1" outlineLevel="3" x14ac:dyDescent="0.2">
      <c r="A609" s="2"/>
      <c r="B609" s="1"/>
      <c r="C609" s="27"/>
      <c r="D609" s="6"/>
      <c r="E609" s="75"/>
      <c r="F609" s="75"/>
      <c r="G609" s="76"/>
      <c r="H609" s="43"/>
    </row>
    <row r="610" spans="1:8" s="11" customFormat="1" ht="15" hidden="1" customHeight="1" outlineLevel="2" collapsed="1" x14ac:dyDescent="0.2">
      <c r="A610" s="2">
        <f>A605+0.01</f>
        <v>0.02</v>
      </c>
      <c r="B610" s="1"/>
      <c r="C610" s="27"/>
      <c r="D610" s="6"/>
      <c r="E610" s="75"/>
      <c r="F610" s="75"/>
      <c r="G610" s="76"/>
      <c r="H610" s="43"/>
    </row>
    <row r="611" spans="1:8" s="11" customFormat="1" ht="15" hidden="1" customHeight="1" outlineLevel="3" x14ac:dyDescent="0.2">
      <c r="A611" s="2"/>
      <c r="B611" s="1"/>
      <c r="C611" s="27"/>
      <c r="D611" s="6"/>
      <c r="E611" s="75"/>
      <c r="F611" s="75"/>
      <c r="G611" s="76"/>
      <c r="H611" s="43"/>
    </row>
    <row r="612" spans="1:8" s="11" customFormat="1" ht="15" hidden="1" customHeight="1" outlineLevel="3" x14ac:dyDescent="0.2">
      <c r="A612" s="2"/>
      <c r="B612" s="1"/>
      <c r="C612" s="27"/>
      <c r="D612" s="6"/>
      <c r="E612" s="75"/>
      <c r="F612" s="75"/>
      <c r="G612" s="76"/>
      <c r="H612" s="43"/>
    </row>
    <row r="613" spans="1:8" s="11" customFormat="1" ht="15" hidden="1" customHeight="1" outlineLevel="3" x14ac:dyDescent="0.2">
      <c r="A613" s="2"/>
      <c r="B613" s="1"/>
      <c r="C613" s="27"/>
      <c r="D613" s="6"/>
      <c r="E613" s="75"/>
      <c r="F613" s="75"/>
      <c r="G613" s="76"/>
      <c r="H613" s="43"/>
    </row>
    <row r="614" spans="1:8" s="11" customFormat="1" ht="15" hidden="1" customHeight="1" outlineLevel="3" x14ac:dyDescent="0.2">
      <c r="A614" s="2"/>
      <c r="B614" s="1"/>
      <c r="C614" s="27"/>
      <c r="D614" s="6"/>
      <c r="E614" s="75"/>
      <c r="F614" s="75"/>
      <c r="G614" s="76"/>
      <c r="H614" s="43"/>
    </row>
    <row r="615" spans="1:8" s="11" customFormat="1" ht="15" hidden="1" customHeight="1" outlineLevel="2" collapsed="1" x14ac:dyDescent="0.2">
      <c r="A615" s="106">
        <f>A610+0.01</f>
        <v>0.03</v>
      </c>
      <c r="B615" s="107"/>
      <c r="C615" s="27"/>
      <c r="D615" s="6"/>
      <c r="E615" s="75"/>
      <c r="F615" s="77"/>
      <c r="G615" s="76"/>
      <c r="H615" s="43"/>
    </row>
    <row r="616" spans="1:8" s="11" customFormat="1" ht="15" hidden="1" customHeight="1" outlineLevel="3" x14ac:dyDescent="0.2">
      <c r="A616" s="2"/>
      <c r="B616" s="1"/>
      <c r="C616" s="27"/>
      <c r="D616" s="6"/>
      <c r="E616" s="75"/>
      <c r="F616" s="75"/>
      <c r="G616" s="76"/>
      <c r="H616" s="43"/>
    </row>
    <row r="617" spans="1:8" s="11" customFormat="1" ht="15" hidden="1" customHeight="1" outlineLevel="3" x14ac:dyDescent="0.2">
      <c r="A617" s="2"/>
      <c r="B617" s="1"/>
      <c r="C617" s="27"/>
      <c r="D617" s="6"/>
      <c r="E617" s="75"/>
      <c r="F617" s="75"/>
      <c r="G617" s="76"/>
      <c r="H617" s="43"/>
    </row>
    <row r="618" spans="1:8" s="11" customFormat="1" ht="15" hidden="1" customHeight="1" outlineLevel="3" x14ac:dyDescent="0.2">
      <c r="A618" s="2"/>
      <c r="B618" s="1"/>
      <c r="C618" s="27"/>
      <c r="D618" s="6"/>
      <c r="E618" s="75"/>
      <c r="F618" s="75"/>
      <c r="G618" s="76"/>
      <c r="H618" s="43"/>
    </row>
    <row r="619" spans="1:8" s="11" customFormat="1" ht="15" hidden="1" customHeight="1" outlineLevel="3" x14ac:dyDescent="0.2">
      <c r="A619" s="2"/>
      <c r="B619" s="1"/>
      <c r="C619" s="27"/>
      <c r="D619" s="6"/>
      <c r="E619" s="75"/>
      <c r="F619" s="75"/>
      <c r="G619" s="76"/>
      <c r="H619" s="43"/>
    </row>
    <row r="620" spans="1:8" s="11" customFormat="1" ht="15" customHeight="1" outlineLevel="1" x14ac:dyDescent="0.2">
      <c r="A620" s="2">
        <f>A594+0.1</f>
        <v>3.4000000000000004</v>
      </c>
      <c r="B620" s="1"/>
      <c r="C620" s="28" t="s">
        <v>76</v>
      </c>
      <c r="D620" s="5"/>
      <c r="E620" s="72"/>
      <c r="F620" s="10"/>
      <c r="G620" s="73"/>
      <c r="H620" s="74"/>
    </row>
    <row r="621" spans="1:8" s="11" customFormat="1" ht="56.25" outlineLevel="2" collapsed="1" x14ac:dyDescent="0.2">
      <c r="A621" s="106"/>
      <c r="B621" s="107"/>
      <c r="C621" s="68" t="s">
        <v>79</v>
      </c>
      <c r="D621" s="6" t="s">
        <v>17</v>
      </c>
      <c r="E621" s="75">
        <v>18</v>
      </c>
      <c r="F621" s="75"/>
      <c r="G621" s="76"/>
      <c r="H621" s="43"/>
    </row>
    <row r="622" spans="1:8" s="11" customFormat="1" ht="15" hidden="1" customHeight="1" outlineLevel="3" x14ac:dyDescent="0.2">
      <c r="A622" s="2"/>
      <c r="B622" s="1"/>
      <c r="C622" s="27"/>
      <c r="D622" s="6"/>
      <c r="E622" s="75"/>
      <c r="F622" s="75"/>
      <c r="G622" s="76"/>
      <c r="H622" s="43"/>
    </row>
    <row r="623" spans="1:8" s="11" customFormat="1" ht="15" hidden="1" customHeight="1" outlineLevel="3" x14ac:dyDescent="0.2">
      <c r="A623" s="2"/>
      <c r="B623" s="1"/>
      <c r="C623" s="27"/>
      <c r="D623" s="6"/>
      <c r="E623" s="75"/>
      <c r="F623" s="75"/>
      <c r="G623" s="76"/>
      <c r="H623" s="43"/>
    </row>
    <row r="624" spans="1:8" s="11" customFormat="1" ht="15" hidden="1" customHeight="1" outlineLevel="3" x14ac:dyDescent="0.2">
      <c r="A624" s="2"/>
      <c r="B624" s="1"/>
      <c r="C624" s="27"/>
      <c r="D624" s="6"/>
      <c r="E624" s="75"/>
      <c r="F624" s="75"/>
      <c r="G624" s="76"/>
      <c r="H624" s="43"/>
    </row>
    <row r="625" spans="1:8" s="11" customFormat="1" ht="15" hidden="1" customHeight="1" outlineLevel="3" x14ac:dyDescent="0.2">
      <c r="A625" s="2"/>
      <c r="B625" s="1"/>
      <c r="C625" s="27"/>
      <c r="D625" s="6"/>
      <c r="E625" s="75"/>
      <c r="F625" s="75"/>
      <c r="G625" s="76"/>
      <c r="H625" s="43"/>
    </row>
    <row r="626" spans="1:8" s="11" customFormat="1" ht="15" hidden="1" customHeight="1" outlineLevel="2" collapsed="1" x14ac:dyDescent="0.2">
      <c r="A626" s="106">
        <f>A621+0.01</f>
        <v>0.01</v>
      </c>
      <c r="B626" s="107"/>
      <c r="C626" s="27"/>
      <c r="D626" s="6"/>
      <c r="E626" s="75"/>
      <c r="F626" s="75"/>
      <c r="G626" s="76"/>
      <c r="H626" s="43"/>
    </row>
    <row r="627" spans="1:8" s="11" customFormat="1" ht="15" hidden="1" customHeight="1" outlineLevel="3" x14ac:dyDescent="0.2">
      <c r="A627" s="2"/>
      <c r="B627" s="1"/>
      <c r="C627" s="27"/>
      <c r="D627" s="6"/>
      <c r="E627" s="75"/>
      <c r="F627" s="75"/>
      <c r="G627" s="76"/>
      <c r="H627" s="43"/>
    </row>
    <row r="628" spans="1:8" s="11" customFormat="1" ht="15" hidden="1" customHeight="1" outlineLevel="3" x14ac:dyDescent="0.2">
      <c r="A628" s="2"/>
      <c r="B628" s="1"/>
      <c r="C628" s="27"/>
      <c r="D628" s="6"/>
      <c r="E628" s="75"/>
      <c r="F628" s="75"/>
      <c r="G628" s="76"/>
      <c r="H628" s="43"/>
    </row>
    <row r="629" spans="1:8" s="11" customFormat="1" ht="15" hidden="1" customHeight="1" outlineLevel="3" x14ac:dyDescent="0.2">
      <c r="A629" s="2"/>
      <c r="B629" s="1"/>
      <c r="C629" s="27"/>
      <c r="D629" s="6"/>
      <c r="E629" s="75"/>
      <c r="F629" s="75"/>
      <c r="G629" s="76"/>
      <c r="H629" s="43"/>
    </row>
    <row r="630" spans="1:8" s="11" customFormat="1" ht="15" hidden="1" customHeight="1" outlineLevel="3" x14ac:dyDescent="0.2">
      <c r="A630" s="2"/>
      <c r="B630" s="1"/>
      <c r="C630" s="27"/>
      <c r="D630" s="6"/>
      <c r="E630" s="75"/>
      <c r="F630" s="75"/>
      <c r="G630" s="76"/>
      <c r="H630" s="43"/>
    </row>
    <row r="631" spans="1:8" s="11" customFormat="1" ht="15" hidden="1" customHeight="1" outlineLevel="2" collapsed="1" x14ac:dyDescent="0.2">
      <c r="A631" s="106">
        <f>A626+0.01</f>
        <v>0.02</v>
      </c>
      <c r="B631" s="107"/>
      <c r="C631" s="27"/>
      <c r="D631" s="6"/>
      <c r="E631" s="75"/>
      <c r="F631" s="75"/>
      <c r="G631" s="76"/>
      <c r="H631" s="43"/>
    </row>
    <row r="632" spans="1:8" s="11" customFormat="1" ht="15" hidden="1" customHeight="1" outlineLevel="3" x14ac:dyDescent="0.2">
      <c r="A632" s="2"/>
      <c r="B632" s="1"/>
      <c r="C632" s="27"/>
      <c r="D632" s="6"/>
      <c r="E632" s="75"/>
      <c r="F632" s="75"/>
      <c r="G632" s="76"/>
      <c r="H632" s="43"/>
    </row>
    <row r="633" spans="1:8" s="11" customFormat="1" ht="15" hidden="1" customHeight="1" outlineLevel="3" x14ac:dyDescent="0.2">
      <c r="A633" s="2"/>
      <c r="B633" s="1"/>
      <c r="C633" s="27"/>
      <c r="D633" s="6"/>
      <c r="E633" s="75"/>
      <c r="F633" s="75"/>
      <c r="G633" s="76"/>
      <c r="H633" s="43"/>
    </row>
    <row r="634" spans="1:8" s="11" customFormat="1" ht="15" hidden="1" customHeight="1" outlineLevel="3" x14ac:dyDescent="0.2">
      <c r="A634" s="2"/>
      <c r="B634" s="1"/>
      <c r="C634" s="27"/>
      <c r="D634" s="6"/>
      <c r="E634" s="75"/>
      <c r="F634" s="75"/>
      <c r="G634" s="76"/>
      <c r="H634" s="43"/>
    </row>
    <row r="635" spans="1:8" s="11" customFormat="1" ht="15" hidden="1" customHeight="1" outlineLevel="3" x14ac:dyDescent="0.2">
      <c r="A635" s="2"/>
      <c r="B635" s="1"/>
      <c r="C635" s="27"/>
      <c r="D635" s="6"/>
      <c r="E635" s="75"/>
      <c r="F635" s="75"/>
      <c r="G635" s="76"/>
      <c r="H635" s="43"/>
    </row>
    <row r="636" spans="1:8" s="11" customFormat="1" ht="15" hidden="1" customHeight="1" outlineLevel="2" collapsed="1" x14ac:dyDescent="0.2">
      <c r="A636" s="2">
        <f>A631+0.01</f>
        <v>0.03</v>
      </c>
      <c r="B636" s="1"/>
      <c r="C636" s="27"/>
      <c r="D636" s="6"/>
      <c r="E636" s="75"/>
      <c r="F636" s="75"/>
      <c r="G636" s="76"/>
      <c r="H636" s="43"/>
    </row>
    <row r="637" spans="1:8" s="11" customFormat="1" ht="15" hidden="1" customHeight="1" outlineLevel="3" x14ac:dyDescent="0.2">
      <c r="A637" s="2"/>
      <c r="B637" s="1"/>
      <c r="C637" s="27"/>
      <c r="D637" s="6"/>
      <c r="E637" s="75"/>
      <c r="F637" s="75"/>
      <c r="G637" s="76"/>
      <c r="H637" s="43"/>
    </row>
    <row r="638" spans="1:8" s="11" customFormat="1" ht="15" hidden="1" customHeight="1" outlineLevel="3" x14ac:dyDescent="0.2">
      <c r="A638" s="2"/>
      <c r="B638" s="1"/>
      <c r="C638" s="27"/>
      <c r="D638" s="6"/>
      <c r="E638" s="75"/>
      <c r="F638" s="75"/>
      <c r="G638" s="76"/>
      <c r="H638" s="43"/>
    </row>
    <row r="639" spans="1:8" s="11" customFormat="1" ht="15" hidden="1" customHeight="1" outlineLevel="3" x14ac:dyDescent="0.2">
      <c r="A639" s="2"/>
      <c r="B639" s="1"/>
      <c r="C639" s="27"/>
      <c r="D639" s="6"/>
      <c r="E639" s="75"/>
      <c r="F639" s="75"/>
      <c r="G639" s="76"/>
      <c r="H639" s="43"/>
    </row>
    <row r="640" spans="1:8" s="11" customFormat="1" ht="15" hidden="1" customHeight="1" outlineLevel="3" x14ac:dyDescent="0.2">
      <c r="A640" s="2"/>
      <c r="B640" s="1"/>
      <c r="C640" s="27"/>
      <c r="D640" s="6"/>
      <c r="E640" s="75"/>
      <c r="F640" s="75"/>
      <c r="G640" s="76"/>
      <c r="H640" s="43"/>
    </row>
    <row r="641" spans="1:8" s="11" customFormat="1" ht="15" hidden="1" customHeight="1" outlineLevel="2" collapsed="1" x14ac:dyDescent="0.2">
      <c r="A641" s="106">
        <f>A636+0.01</f>
        <v>0.04</v>
      </c>
      <c r="B641" s="107"/>
      <c r="C641" s="27"/>
      <c r="D641" s="6"/>
      <c r="E641" s="75"/>
      <c r="F641" s="77"/>
      <c r="G641" s="76"/>
      <c r="H641" s="43"/>
    </row>
    <row r="642" spans="1:8" s="11" customFormat="1" ht="15" hidden="1" customHeight="1" outlineLevel="3" x14ac:dyDescent="0.2">
      <c r="A642" s="2"/>
      <c r="B642" s="1"/>
      <c r="C642" s="27"/>
      <c r="D642" s="6"/>
      <c r="E642" s="75"/>
      <c r="F642" s="75"/>
      <c r="G642" s="76"/>
      <c r="H642" s="43"/>
    </row>
    <row r="643" spans="1:8" s="11" customFormat="1" ht="15" hidden="1" customHeight="1" outlineLevel="3" x14ac:dyDescent="0.2">
      <c r="A643" s="2"/>
      <c r="B643" s="1"/>
      <c r="C643" s="27"/>
      <c r="D643" s="6"/>
      <c r="E643" s="75"/>
      <c r="F643" s="75"/>
      <c r="G643" s="76"/>
      <c r="H643" s="43"/>
    </row>
    <row r="644" spans="1:8" s="11" customFormat="1" ht="15" hidden="1" customHeight="1" outlineLevel="3" x14ac:dyDescent="0.2">
      <c r="A644" s="2"/>
      <c r="B644" s="1"/>
      <c r="C644" s="27"/>
      <c r="D644" s="6"/>
      <c r="E644" s="75"/>
      <c r="F644" s="75"/>
      <c r="G644" s="76"/>
      <c r="H644" s="43"/>
    </row>
    <row r="645" spans="1:8" s="11" customFormat="1" ht="15" hidden="1" customHeight="1" outlineLevel="3" x14ac:dyDescent="0.2">
      <c r="A645" s="2"/>
      <c r="B645" s="1"/>
      <c r="C645" s="27"/>
      <c r="D645" s="6"/>
      <c r="E645" s="75"/>
      <c r="F645" s="75"/>
      <c r="G645" s="76"/>
      <c r="H645" s="43"/>
    </row>
    <row r="646" spans="1:8" s="11" customFormat="1" ht="15" customHeight="1" outlineLevel="1" x14ac:dyDescent="0.2">
      <c r="A646" s="2">
        <f>A620+0.1</f>
        <v>3.5000000000000004</v>
      </c>
      <c r="B646" s="1"/>
      <c r="C646" s="28" t="s">
        <v>77</v>
      </c>
      <c r="D646" s="5"/>
      <c r="E646" s="72"/>
      <c r="F646" s="10"/>
      <c r="G646" s="73"/>
      <c r="H646" s="74"/>
    </row>
    <row r="647" spans="1:8" s="11" customFormat="1" ht="15" customHeight="1" outlineLevel="2" collapsed="1" x14ac:dyDescent="0.2">
      <c r="A647" s="106"/>
      <c r="B647" s="107"/>
      <c r="C647" s="58" t="s">
        <v>78</v>
      </c>
      <c r="D647" s="6" t="s">
        <v>17</v>
      </c>
      <c r="E647" s="75">
        <v>18</v>
      </c>
      <c r="F647" s="75"/>
      <c r="G647" s="76"/>
      <c r="H647" s="43"/>
    </row>
    <row r="648" spans="1:8" s="11" customFormat="1" ht="15" hidden="1" customHeight="1" outlineLevel="3" x14ac:dyDescent="0.2">
      <c r="A648" s="2"/>
      <c r="B648" s="1"/>
      <c r="C648" s="27"/>
      <c r="D648" s="6"/>
      <c r="E648" s="7"/>
      <c r="F648" s="7"/>
      <c r="G648" s="31"/>
      <c r="H648" s="43"/>
    </row>
    <row r="649" spans="1:8" s="11" customFormat="1" ht="15" hidden="1" customHeight="1" outlineLevel="3" thickBot="1" x14ac:dyDescent="0.25">
      <c r="A649" s="2"/>
      <c r="B649" s="1"/>
      <c r="C649" s="27"/>
      <c r="D649" s="6"/>
      <c r="E649" s="7"/>
      <c r="F649" s="7"/>
      <c r="G649" s="31"/>
      <c r="H649" s="43"/>
    </row>
    <row r="650" spans="1:8" s="11" customFormat="1" ht="15" hidden="1" customHeight="1" outlineLevel="3" thickBot="1" x14ac:dyDescent="0.25">
      <c r="A650" s="2"/>
      <c r="B650" s="1"/>
      <c r="C650" s="27"/>
      <c r="D650" s="6"/>
      <c r="E650" s="7"/>
      <c r="F650" s="7"/>
      <c r="G650" s="31"/>
      <c r="H650" s="43"/>
    </row>
    <row r="651" spans="1:8" s="11" customFormat="1" ht="15" hidden="1" customHeight="1" outlineLevel="3" thickBot="1" x14ac:dyDescent="0.25">
      <c r="A651" s="2"/>
      <c r="B651" s="1"/>
      <c r="C651" s="27"/>
      <c r="D651" s="6"/>
      <c r="E651" s="7"/>
      <c r="F651" s="7"/>
      <c r="G651" s="31"/>
      <c r="H651" s="43"/>
    </row>
    <row r="652" spans="1:8" s="11" customFormat="1" ht="15" hidden="1" customHeight="1" outlineLevel="2" collapsed="1" thickBot="1" x14ac:dyDescent="0.25">
      <c r="A652" s="106">
        <f>A647+0.01</f>
        <v>0.01</v>
      </c>
      <c r="B652" s="107"/>
      <c r="C652" s="27"/>
      <c r="D652" s="6"/>
      <c r="E652" s="7"/>
      <c r="F652" s="7"/>
      <c r="G652" s="31"/>
      <c r="H652" s="43"/>
    </row>
    <row r="653" spans="1:8" s="11" customFormat="1" ht="15" hidden="1" customHeight="1" outlineLevel="3" thickBot="1" x14ac:dyDescent="0.25">
      <c r="A653" s="2"/>
      <c r="B653" s="1"/>
      <c r="C653" s="27"/>
      <c r="D653" s="6"/>
      <c r="E653" s="7"/>
      <c r="F653" s="7"/>
      <c r="G653" s="31"/>
      <c r="H653" s="43"/>
    </row>
    <row r="654" spans="1:8" s="11" customFormat="1" ht="15" hidden="1" customHeight="1" outlineLevel="3" thickBot="1" x14ac:dyDescent="0.25">
      <c r="A654" s="2"/>
      <c r="B654" s="1"/>
      <c r="C654" s="27"/>
      <c r="D654" s="6"/>
      <c r="E654" s="7"/>
      <c r="F654" s="7"/>
      <c r="G654" s="31"/>
      <c r="H654" s="43"/>
    </row>
    <row r="655" spans="1:8" s="11" customFormat="1" ht="15" hidden="1" customHeight="1" outlineLevel="3" thickBot="1" x14ac:dyDescent="0.25">
      <c r="A655" s="2"/>
      <c r="B655" s="1"/>
      <c r="C655" s="27"/>
      <c r="D655" s="6"/>
      <c r="E655" s="7"/>
      <c r="F655" s="7"/>
      <c r="G655" s="31"/>
      <c r="H655" s="43"/>
    </row>
    <row r="656" spans="1:8" s="11" customFormat="1" ht="15" hidden="1" customHeight="1" outlineLevel="3" thickBot="1" x14ac:dyDescent="0.25">
      <c r="A656" s="2"/>
      <c r="B656" s="1"/>
      <c r="C656" s="27"/>
      <c r="D656" s="6"/>
      <c r="E656" s="7"/>
      <c r="F656" s="7"/>
      <c r="G656" s="31"/>
      <c r="H656" s="43"/>
    </row>
    <row r="657" spans="1:8" s="11" customFormat="1" ht="15" hidden="1" customHeight="1" outlineLevel="2" collapsed="1" thickBot="1" x14ac:dyDescent="0.25">
      <c r="A657" s="106">
        <f>A652+0.01</f>
        <v>0.02</v>
      </c>
      <c r="B657" s="107"/>
      <c r="C657" s="27"/>
      <c r="D657" s="6"/>
      <c r="E657" s="7"/>
      <c r="F657" s="7"/>
      <c r="G657" s="31"/>
      <c r="H657" s="43"/>
    </row>
    <row r="658" spans="1:8" s="11" customFormat="1" ht="15" hidden="1" customHeight="1" outlineLevel="3" thickBot="1" x14ac:dyDescent="0.25">
      <c r="A658" s="2"/>
      <c r="B658" s="1"/>
      <c r="C658" s="27"/>
      <c r="D658" s="6"/>
      <c r="E658" s="7"/>
      <c r="F658" s="7"/>
      <c r="G658" s="31"/>
      <c r="H658" s="43"/>
    </row>
    <row r="659" spans="1:8" s="11" customFormat="1" ht="15" hidden="1" customHeight="1" outlineLevel="3" thickBot="1" x14ac:dyDescent="0.25">
      <c r="A659" s="2"/>
      <c r="B659" s="1"/>
      <c r="C659" s="27"/>
      <c r="D659" s="6"/>
      <c r="E659" s="7"/>
      <c r="F659" s="7"/>
      <c r="G659" s="31"/>
      <c r="H659" s="43"/>
    </row>
    <row r="660" spans="1:8" s="11" customFormat="1" ht="15" hidden="1" customHeight="1" outlineLevel="3" thickBot="1" x14ac:dyDescent="0.25">
      <c r="A660" s="2"/>
      <c r="B660" s="1"/>
      <c r="C660" s="27"/>
      <c r="D660" s="6"/>
      <c r="E660" s="7"/>
      <c r="F660" s="7"/>
      <c r="G660" s="31"/>
      <c r="H660" s="43"/>
    </row>
    <row r="661" spans="1:8" s="11" customFormat="1" ht="15" hidden="1" customHeight="1" outlineLevel="3" thickBot="1" x14ac:dyDescent="0.25">
      <c r="A661" s="2"/>
      <c r="B661" s="1"/>
      <c r="C661" s="27"/>
      <c r="D661" s="6"/>
      <c r="E661" s="7"/>
      <c r="F661" s="7"/>
      <c r="G661" s="31"/>
      <c r="H661" s="43"/>
    </row>
    <row r="662" spans="1:8" s="11" customFormat="1" ht="15" hidden="1" customHeight="1" outlineLevel="2" collapsed="1" thickBot="1" x14ac:dyDescent="0.25">
      <c r="A662" s="2">
        <f>A657+0.01</f>
        <v>0.03</v>
      </c>
      <c r="B662" s="1"/>
      <c r="C662" s="27"/>
      <c r="D662" s="6"/>
      <c r="E662" s="7"/>
      <c r="F662" s="7"/>
      <c r="G662" s="31"/>
      <c r="H662" s="43"/>
    </row>
    <row r="663" spans="1:8" s="11" customFormat="1" ht="15" hidden="1" customHeight="1" outlineLevel="3" thickBot="1" x14ac:dyDescent="0.25">
      <c r="A663" s="2"/>
      <c r="B663" s="1"/>
      <c r="C663" s="27"/>
      <c r="D663" s="6"/>
      <c r="E663" s="7"/>
      <c r="F663" s="7"/>
      <c r="G663" s="31"/>
      <c r="H663" s="43"/>
    </row>
    <row r="664" spans="1:8" s="11" customFormat="1" ht="15" hidden="1" customHeight="1" outlineLevel="3" thickBot="1" x14ac:dyDescent="0.25">
      <c r="A664" s="2"/>
      <c r="B664" s="1"/>
      <c r="C664" s="27"/>
      <c r="D664" s="6"/>
      <c r="E664" s="7"/>
      <c r="F664" s="7"/>
      <c r="G664" s="31"/>
      <c r="H664" s="43"/>
    </row>
    <row r="665" spans="1:8" s="11" customFormat="1" ht="15" hidden="1" customHeight="1" outlineLevel="3" thickBot="1" x14ac:dyDescent="0.25">
      <c r="A665" s="2"/>
      <c r="B665" s="1"/>
      <c r="C665" s="27"/>
      <c r="D665" s="6"/>
      <c r="E665" s="7"/>
      <c r="F665" s="7"/>
      <c r="G665" s="31"/>
      <c r="H665" s="43"/>
    </row>
    <row r="666" spans="1:8" s="11" customFormat="1" ht="15" hidden="1" customHeight="1" outlineLevel="3" thickBot="1" x14ac:dyDescent="0.25">
      <c r="A666" s="2"/>
      <c r="B666" s="1"/>
      <c r="C666" s="27"/>
      <c r="D666" s="6"/>
      <c r="E666" s="7"/>
      <c r="F666" s="7"/>
      <c r="G666" s="31"/>
      <c r="H666" s="43"/>
    </row>
    <row r="667" spans="1:8" s="11" customFormat="1" ht="15" hidden="1" customHeight="1" outlineLevel="2" collapsed="1" thickBot="1" x14ac:dyDescent="0.25">
      <c r="A667" s="106">
        <f>A662+0.01</f>
        <v>0.04</v>
      </c>
      <c r="B667" s="107"/>
      <c r="C667" s="27"/>
      <c r="D667" s="6"/>
      <c r="E667" s="7"/>
      <c r="F667" s="30"/>
      <c r="G667" s="31"/>
      <c r="H667" s="43"/>
    </row>
    <row r="668" spans="1:8" s="11" customFormat="1" ht="15" hidden="1" customHeight="1" outlineLevel="3" thickBot="1" x14ac:dyDescent="0.25">
      <c r="A668" s="2"/>
      <c r="B668" s="1"/>
      <c r="C668" s="27"/>
      <c r="D668" s="6"/>
      <c r="E668" s="7"/>
      <c r="F668" s="7"/>
      <c r="G668" s="31"/>
      <c r="H668" s="43"/>
    </row>
    <row r="669" spans="1:8" s="11" customFormat="1" ht="15" hidden="1" customHeight="1" outlineLevel="3" thickBot="1" x14ac:dyDescent="0.25">
      <c r="A669" s="2"/>
      <c r="B669" s="1"/>
      <c r="C669" s="27"/>
      <c r="D669" s="6"/>
      <c r="E669" s="7"/>
      <c r="F669" s="7"/>
      <c r="G669" s="31"/>
      <c r="H669" s="43"/>
    </row>
    <row r="670" spans="1:8" s="11" customFormat="1" ht="15" hidden="1" customHeight="1" outlineLevel="3" thickBot="1" x14ac:dyDescent="0.25">
      <c r="A670" s="2"/>
      <c r="B670" s="1"/>
      <c r="C670" s="27"/>
      <c r="D670" s="6"/>
      <c r="E670" s="7"/>
      <c r="F670" s="7"/>
      <c r="G670" s="31"/>
      <c r="H670" s="43"/>
    </row>
    <row r="671" spans="1:8" s="11" customFormat="1" ht="15" hidden="1" customHeight="1" outlineLevel="3" thickBot="1" x14ac:dyDescent="0.25">
      <c r="A671" s="2"/>
      <c r="B671" s="1"/>
      <c r="C671" s="27"/>
      <c r="D671" s="6"/>
      <c r="E671" s="7"/>
      <c r="F671" s="7"/>
      <c r="G671" s="31"/>
      <c r="H671" s="43"/>
    </row>
    <row r="672" spans="1:8" s="11" customFormat="1" ht="15" hidden="1" customHeight="1" outlineLevel="1" collapsed="1" thickBot="1" x14ac:dyDescent="0.25">
      <c r="A672" s="2">
        <f>A646+0.1</f>
        <v>3.6000000000000005</v>
      </c>
      <c r="B672" s="1"/>
      <c r="C672" s="28"/>
      <c r="D672" s="5"/>
      <c r="E672" s="9"/>
      <c r="F672" s="10"/>
      <c r="G672" s="37"/>
      <c r="H672" s="36"/>
    </row>
    <row r="673" spans="1:8" s="11" customFormat="1" ht="15" hidden="1" customHeight="1" outlineLevel="2" collapsed="1" thickBot="1" x14ac:dyDescent="0.25">
      <c r="A673" s="106">
        <f>A672+0.01</f>
        <v>3.6100000000000003</v>
      </c>
      <c r="B673" s="107"/>
      <c r="C673" s="27"/>
      <c r="D673" s="6"/>
      <c r="E673" s="7"/>
      <c r="F673" s="7"/>
      <c r="G673" s="31"/>
      <c r="H673" s="43"/>
    </row>
    <row r="674" spans="1:8" s="11" customFormat="1" ht="15" hidden="1" customHeight="1" outlineLevel="3" thickBot="1" x14ac:dyDescent="0.25">
      <c r="A674" s="2"/>
      <c r="B674" s="1"/>
      <c r="C674" s="27"/>
      <c r="D674" s="6"/>
      <c r="E674" s="7"/>
      <c r="F674" s="7"/>
      <c r="G674" s="31"/>
      <c r="H674" s="43"/>
    </row>
    <row r="675" spans="1:8" s="11" customFormat="1" ht="15" hidden="1" customHeight="1" outlineLevel="3" thickBot="1" x14ac:dyDescent="0.25">
      <c r="A675" s="2"/>
      <c r="B675" s="1"/>
      <c r="C675" s="27"/>
      <c r="D675" s="6"/>
      <c r="E675" s="7"/>
      <c r="F675" s="7"/>
      <c r="G675" s="31"/>
      <c r="H675" s="43"/>
    </row>
    <row r="676" spans="1:8" s="11" customFormat="1" ht="15" hidden="1" customHeight="1" outlineLevel="3" thickBot="1" x14ac:dyDescent="0.25">
      <c r="A676" s="2"/>
      <c r="B676" s="1"/>
      <c r="C676" s="27"/>
      <c r="D676" s="6"/>
      <c r="E676" s="7"/>
      <c r="F676" s="7"/>
      <c r="G676" s="31"/>
      <c r="H676" s="43"/>
    </row>
    <row r="677" spans="1:8" s="11" customFormat="1" ht="15" hidden="1" customHeight="1" outlineLevel="3" thickBot="1" x14ac:dyDescent="0.25">
      <c r="A677" s="2"/>
      <c r="B677" s="1"/>
      <c r="C677" s="27"/>
      <c r="D677" s="6"/>
      <c r="E677" s="7"/>
      <c r="F677" s="7"/>
      <c r="G677" s="31"/>
      <c r="H677" s="43"/>
    </row>
    <row r="678" spans="1:8" s="11" customFormat="1" ht="15" hidden="1" customHeight="1" outlineLevel="2" collapsed="1" thickBot="1" x14ac:dyDescent="0.25">
      <c r="A678" s="106">
        <f>A673+0.01</f>
        <v>3.62</v>
      </c>
      <c r="B678" s="107"/>
      <c r="C678" s="27"/>
      <c r="D678" s="6"/>
      <c r="E678" s="7"/>
      <c r="F678" s="7"/>
      <c r="G678" s="31"/>
      <c r="H678" s="43"/>
    </row>
    <row r="679" spans="1:8" s="11" customFormat="1" ht="15" hidden="1" customHeight="1" outlineLevel="3" thickBot="1" x14ac:dyDescent="0.25">
      <c r="A679" s="2"/>
      <c r="B679" s="1"/>
      <c r="C679" s="27"/>
      <c r="D679" s="6"/>
      <c r="E679" s="7"/>
      <c r="F679" s="7"/>
      <c r="G679" s="31"/>
      <c r="H679" s="43"/>
    </row>
    <row r="680" spans="1:8" s="11" customFormat="1" ht="15" hidden="1" customHeight="1" outlineLevel="3" thickBot="1" x14ac:dyDescent="0.25">
      <c r="A680" s="2"/>
      <c r="B680" s="1"/>
      <c r="C680" s="27"/>
      <c r="D680" s="6"/>
      <c r="E680" s="7"/>
      <c r="F680" s="7"/>
      <c r="G680" s="31"/>
      <c r="H680" s="43"/>
    </row>
    <row r="681" spans="1:8" s="11" customFormat="1" ht="15" hidden="1" customHeight="1" outlineLevel="3" thickBot="1" x14ac:dyDescent="0.25">
      <c r="A681" s="2"/>
      <c r="B681" s="1"/>
      <c r="C681" s="27"/>
      <c r="D681" s="6"/>
      <c r="E681" s="7"/>
      <c r="F681" s="7"/>
      <c r="G681" s="31"/>
      <c r="H681" s="43"/>
    </row>
    <row r="682" spans="1:8" s="11" customFormat="1" ht="15" hidden="1" customHeight="1" outlineLevel="3" thickBot="1" x14ac:dyDescent="0.25">
      <c r="A682" s="2"/>
      <c r="B682" s="1"/>
      <c r="C682" s="27"/>
      <c r="D682" s="6"/>
      <c r="E682" s="7"/>
      <c r="F682" s="7"/>
      <c r="G682" s="31"/>
      <c r="H682" s="43"/>
    </row>
    <row r="683" spans="1:8" s="11" customFormat="1" ht="15" hidden="1" customHeight="1" outlineLevel="2" collapsed="1" thickBot="1" x14ac:dyDescent="0.25">
      <c r="A683" s="106">
        <f>A678+0.01</f>
        <v>3.63</v>
      </c>
      <c r="B683" s="107"/>
      <c r="C683" s="27"/>
      <c r="D683" s="6"/>
      <c r="E683" s="7"/>
      <c r="F683" s="7"/>
      <c r="G683" s="31"/>
      <c r="H683" s="43"/>
    </row>
    <row r="684" spans="1:8" s="11" customFormat="1" ht="15" hidden="1" customHeight="1" outlineLevel="3" thickBot="1" x14ac:dyDescent="0.25">
      <c r="A684" s="2"/>
      <c r="B684" s="1"/>
      <c r="C684" s="27"/>
      <c r="D684" s="6"/>
      <c r="E684" s="7"/>
      <c r="F684" s="7"/>
      <c r="G684" s="31"/>
      <c r="H684" s="43"/>
    </row>
    <row r="685" spans="1:8" s="11" customFormat="1" ht="15" hidden="1" customHeight="1" outlineLevel="3" thickBot="1" x14ac:dyDescent="0.25">
      <c r="A685" s="2"/>
      <c r="B685" s="1"/>
      <c r="C685" s="27"/>
      <c r="D685" s="6"/>
      <c r="E685" s="7"/>
      <c r="F685" s="7"/>
      <c r="G685" s="31"/>
      <c r="H685" s="43"/>
    </row>
    <row r="686" spans="1:8" s="11" customFormat="1" ht="15" hidden="1" customHeight="1" outlineLevel="3" thickBot="1" x14ac:dyDescent="0.25">
      <c r="A686" s="2"/>
      <c r="B686" s="1"/>
      <c r="C686" s="27"/>
      <c r="D686" s="6"/>
      <c r="E686" s="7"/>
      <c r="F686" s="7"/>
      <c r="G686" s="31"/>
      <c r="H686" s="43"/>
    </row>
    <row r="687" spans="1:8" s="11" customFormat="1" ht="15" hidden="1" customHeight="1" outlineLevel="3" thickBot="1" x14ac:dyDescent="0.25">
      <c r="A687" s="2"/>
      <c r="B687" s="1"/>
      <c r="C687" s="27"/>
      <c r="D687" s="6"/>
      <c r="E687" s="7"/>
      <c r="F687" s="7"/>
      <c r="G687" s="31"/>
      <c r="H687" s="43"/>
    </row>
    <row r="688" spans="1:8" s="11" customFormat="1" ht="15" hidden="1" customHeight="1" outlineLevel="2" collapsed="1" thickBot="1" x14ac:dyDescent="0.25">
      <c r="A688" s="2">
        <f>A683+0.01</f>
        <v>3.6399999999999997</v>
      </c>
      <c r="B688" s="1"/>
      <c r="C688" s="27"/>
      <c r="D688" s="6"/>
      <c r="E688" s="7"/>
      <c r="F688" s="7"/>
      <c r="G688" s="31"/>
      <c r="H688" s="43"/>
    </row>
    <row r="689" spans="1:8" s="11" customFormat="1" ht="15" hidden="1" customHeight="1" outlineLevel="3" thickBot="1" x14ac:dyDescent="0.25">
      <c r="A689" s="2"/>
      <c r="B689" s="1"/>
      <c r="C689" s="27"/>
      <c r="D689" s="6"/>
      <c r="E689" s="7"/>
      <c r="F689" s="7"/>
      <c r="G689" s="31"/>
      <c r="H689" s="43"/>
    </row>
    <row r="690" spans="1:8" s="11" customFormat="1" ht="15" hidden="1" customHeight="1" outlineLevel="3" thickBot="1" x14ac:dyDescent="0.25">
      <c r="A690" s="2"/>
      <c r="B690" s="1"/>
      <c r="C690" s="27"/>
      <c r="D690" s="6"/>
      <c r="E690" s="7"/>
      <c r="F690" s="7"/>
      <c r="G690" s="31"/>
      <c r="H690" s="43"/>
    </row>
    <row r="691" spans="1:8" s="11" customFormat="1" ht="15" hidden="1" customHeight="1" outlineLevel="3" thickBot="1" x14ac:dyDescent="0.25">
      <c r="A691" s="2"/>
      <c r="B691" s="1"/>
      <c r="C691" s="27"/>
      <c r="D691" s="6"/>
      <c r="E691" s="7"/>
      <c r="F691" s="7"/>
      <c r="G691" s="31"/>
      <c r="H691" s="43"/>
    </row>
    <row r="692" spans="1:8" s="11" customFormat="1" ht="15" hidden="1" customHeight="1" outlineLevel="3" thickBot="1" x14ac:dyDescent="0.25">
      <c r="A692" s="2"/>
      <c r="B692" s="1"/>
      <c r="C692" s="27"/>
      <c r="D692" s="6"/>
      <c r="E692" s="7"/>
      <c r="F692" s="7"/>
      <c r="G692" s="31"/>
      <c r="H692" s="43"/>
    </row>
    <row r="693" spans="1:8" s="11" customFormat="1" ht="15" hidden="1" customHeight="1" outlineLevel="2" thickBot="1" x14ac:dyDescent="0.25">
      <c r="A693" s="106">
        <f>A688+0.01</f>
        <v>3.6499999999999995</v>
      </c>
      <c r="B693" s="107"/>
      <c r="C693" s="27"/>
      <c r="D693" s="6"/>
      <c r="E693" s="7"/>
      <c r="F693" s="30"/>
      <c r="G693" s="31"/>
      <c r="H693" s="43"/>
    </row>
    <row r="694" spans="1:8" s="11" customFormat="1" ht="15" hidden="1" customHeight="1" outlineLevel="3" thickBot="1" x14ac:dyDescent="0.25">
      <c r="A694" s="2"/>
      <c r="B694" s="1"/>
      <c r="C694" s="27"/>
      <c r="D694" s="6"/>
      <c r="E694" s="7"/>
      <c r="F694" s="7"/>
      <c r="G694" s="31"/>
      <c r="H694" s="43"/>
    </row>
    <row r="695" spans="1:8" s="11" customFormat="1" ht="15" hidden="1" customHeight="1" outlineLevel="3" thickBot="1" x14ac:dyDescent="0.25">
      <c r="A695" s="2"/>
      <c r="B695" s="1"/>
      <c r="C695" s="27"/>
      <c r="D695" s="6"/>
      <c r="E695" s="7"/>
      <c r="F695" s="7"/>
      <c r="G695" s="31"/>
      <c r="H695" s="43"/>
    </row>
    <row r="696" spans="1:8" s="11" customFormat="1" ht="15" hidden="1" customHeight="1" outlineLevel="3" thickBot="1" x14ac:dyDescent="0.25">
      <c r="A696" s="2"/>
      <c r="B696" s="1"/>
      <c r="C696" s="27"/>
      <c r="D696" s="6"/>
      <c r="E696" s="7"/>
      <c r="F696" s="7"/>
      <c r="G696" s="31"/>
      <c r="H696" s="43"/>
    </row>
    <row r="697" spans="1:8" s="11" customFormat="1" ht="15" hidden="1" customHeight="1" outlineLevel="3" thickBot="1" x14ac:dyDescent="0.25">
      <c r="A697" s="2"/>
      <c r="B697" s="1"/>
      <c r="C697" s="27"/>
      <c r="D697" s="6"/>
      <c r="E697" s="7"/>
      <c r="F697" s="7"/>
      <c r="G697" s="31"/>
      <c r="H697" s="43"/>
    </row>
    <row r="698" spans="1:8" s="11" customFormat="1" ht="15" hidden="1" customHeight="1" outlineLevel="1" collapsed="1" thickBot="1" x14ac:dyDescent="0.25">
      <c r="A698" s="2">
        <f>A672+0.1</f>
        <v>3.7000000000000006</v>
      </c>
      <c r="B698" s="1"/>
      <c r="C698" s="28"/>
      <c r="D698" s="5"/>
      <c r="E698" s="9"/>
      <c r="F698" s="10"/>
      <c r="G698" s="37"/>
      <c r="H698" s="36"/>
    </row>
    <row r="699" spans="1:8" s="11" customFormat="1" ht="15" hidden="1" customHeight="1" outlineLevel="2" collapsed="1" thickBot="1" x14ac:dyDescent="0.25">
      <c r="A699" s="106">
        <f>A698+0.01</f>
        <v>3.7100000000000004</v>
      </c>
      <c r="B699" s="107"/>
      <c r="C699" s="27"/>
      <c r="D699" s="6"/>
      <c r="E699" s="7"/>
      <c r="F699" s="7"/>
      <c r="G699" s="31"/>
      <c r="H699" s="43"/>
    </row>
    <row r="700" spans="1:8" s="11" customFormat="1" ht="15" hidden="1" customHeight="1" outlineLevel="3" thickBot="1" x14ac:dyDescent="0.25">
      <c r="A700" s="2"/>
      <c r="B700" s="1"/>
      <c r="C700" s="27"/>
      <c r="D700" s="6"/>
      <c r="E700" s="7"/>
      <c r="F700" s="7"/>
      <c r="G700" s="31"/>
      <c r="H700" s="43"/>
    </row>
    <row r="701" spans="1:8" s="11" customFormat="1" ht="15" hidden="1" customHeight="1" outlineLevel="3" thickBot="1" x14ac:dyDescent="0.25">
      <c r="A701" s="2"/>
      <c r="B701" s="1"/>
      <c r="C701" s="27"/>
      <c r="D701" s="6"/>
      <c r="E701" s="7"/>
      <c r="F701" s="7"/>
      <c r="G701" s="31"/>
      <c r="H701" s="43"/>
    </row>
    <row r="702" spans="1:8" s="11" customFormat="1" ht="15" hidden="1" customHeight="1" outlineLevel="3" thickBot="1" x14ac:dyDescent="0.25">
      <c r="A702" s="2"/>
      <c r="B702" s="1"/>
      <c r="C702" s="27"/>
      <c r="D702" s="6"/>
      <c r="E702" s="7"/>
      <c r="F702" s="7"/>
      <c r="G702" s="31"/>
      <c r="H702" s="43"/>
    </row>
    <row r="703" spans="1:8" s="11" customFormat="1" ht="15" hidden="1" customHeight="1" outlineLevel="3" thickBot="1" x14ac:dyDescent="0.25">
      <c r="A703" s="2"/>
      <c r="B703" s="1"/>
      <c r="C703" s="27"/>
      <c r="D703" s="6"/>
      <c r="E703" s="7"/>
      <c r="F703" s="7"/>
      <c r="G703" s="31"/>
      <c r="H703" s="43"/>
    </row>
    <row r="704" spans="1:8" s="11" customFormat="1" ht="15" hidden="1" customHeight="1" outlineLevel="2" collapsed="1" thickBot="1" x14ac:dyDescent="0.25">
      <c r="A704" s="106">
        <f>A699+0.01</f>
        <v>3.72</v>
      </c>
      <c r="B704" s="107"/>
      <c r="C704" s="27"/>
      <c r="D704" s="6"/>
      <c r="E704" s="7"/>
      <c r="F704" s="7"/>
      <c r="G704" s="31"/>
      <c r="H704" s="43"/>
    </row>
    <row r="705" spans="1:8" s="11" customFormat="1" ht="15" hidden="1" customHeight="1" outlineLevel="3" thickBot="1" x14ac:dyDescent="0.25">
      <c r="A705" s="2"/>
      <c r="B705" s="1"/>
      <c r="C705" s="27"/>
      <c r="D705" s="6"/>
      <c r="E705" s="7"/>
      <c r="F705" s="7"/>
      <c r="G705" s="31"/>
      <c r="H705" s="43"/>
    </row>
    <row r="706" spans="1:8" s="11" customFormat="1" ht="15" hidden="1" customHeight="1" outlineLevel="3" thickBot="1" x14ac:dyDescent="0.25">
      <c r="A706" s="2"/>
      <c r="B706" s="1"/>
      <c r="C706" s="27"/>
      <c r="D706" s="6"/>
      <c r="E706" s="7"/>
      <c r="F706" s="7"/>
      <c r="G706" s="31"/>
      <c r="H706" s="43"/>
    </row>
    <row r="707" spans="1:8" s="11" customFormat="1" ht="15" hidden="1" customHeight="1" outlineLevel="3" thickBot="1" x14ac:dyDescent="0.25">
      <c r="A707" s="2"/>
      <c r="B707" s="1"/>
      <c r="C707" s="27"/>
      <c r="D707" s="6"/>
      <c r="E707" s="7"/>
      <c r="F707" s="7"/>
      <c r="G707" s="31"/>
      <c r="H707" s="43"/>
    </row>
    <row r="708" spans="1:8" s="11" customFormat="1" ht="15" hidden="1" customHeight="1" outlineLevel="3" thickBot="1" x14ac:dyDescent="0.25">
      <c r="A708" s="2"/>
      <c r="B708" s="1"/>
      <c r="C708" s="27"/>
      <c r="D708" s="6"/>
      <c r="E708" s="7"/>
      <c r="F708" s="7"/>
      <c r="G708" s="31"/>
      <c r="H708" s="43"/>
    </row>
    <row r="709" spans="1:8" s="11" customFormat="1" ht="15" hidden="1" customHeight="1" outlineLevel="2" collapsed="1" thickBot="1" x14ac:dyDescent="0.25">
      <c r="A709" s="106">
        <f>A704+0.01</f>
        <v>3.73</v>
      </c>
      <c r="B709" s="107"/>
      <c r="C709" s="27"/>
      <c r="D709" s="6"/>
      <c r="E709" s="7"/>
      <c r="F709" s="7"/>
      <c r="G709" s="31"/>
      <c r="H709" s="43"/>
    </row>
    <row r="710" spans="1:8" s="11" customFormat="1" ht="15" hidden="1" customHeight="1" outlineLevel="3" thickBot="1" x14ac:dyDescent="0.25">
      <c r="A710" s="2"/>
      <c r="B710" s="1"/>
      <c r="C710" s="27"/>
      <c r="D710" s="6"/>
      <c r="E710" s="7"/>
      <c r="F710" s="7"/>
      <c r="G710" s="31"/>
      <c r="H710" s="43"/>
    </row>
    <row r="711" spans="1:8" s="11" customFormat="1" ht="15" hidden="1" customHeight="1" outlineLevel="3" thickBot="1" x14ac:dyDescent="0.25">
      <c r="A711" s="2"/>
      <c r="B711" s="1"/>
      <c r="C711" s="27"/>
      <c r="D711" s="6"/>
      <c r="E711" s="7"/>
      <c r="F711" s="7"/>
      <c r="G711" s="31"/>
      <c r="H711" s="43"/>
    </row>
    <row r="712" spans="1:8" s="11" customFormat="1" ht="15" hidden="1" customHeight="1" outlineLevel="3" thickBot="1" x14ac:dyDescent="0.25">
      <c r="A712" s="2"/>
      <c r="B712" s="1"/>
      <c r="C712" s="27"/>
      <c r="D712" s="6"/>
      <c r="E712" s="7"/>
      <c r="F712" s="7"/>
      <c r="G712" s="31"/>
      <c r="H712" s="43"/>
    </row>
    <row r="713" spans="1:8" s="11" customFormat="1" ht="15" hidden="1" customHeight="1" outlineLevel="3" thickBot="1" x14ac:dyDescent="0.25">
      <c r="A713" s="2"/>
      <c r="B713" s="1"/>
      <c r="C713" s="27"/>
      <c r="D713" s="6"/>
      <c r="E713" s="7"/>
      <c r="F713" s="7"/>
      <c r="G713" s="31"/>
      <c r="H713" s="43"/>
    </row>
    <row r="714" spans="1:8" s="11" customFormat="1" ht="15" hidden="1" customHeight="1" outlineLevel="2" collapsed="1" thickBot="1" x14ac:dyDescent="0.25">
      <c r="A714" s="2">
        <f>A709+0.01</f>
        <v>3.7399999999999998</v>
      </c>
      <c r="B714" s="1"/>
      <c r="C714" s="27"/>
      <c r="D714" s="6"/>
      <c r="E714" s="7"/>
      <c r="F714" s="7"/>
      <c r="G714" s="31"/>
      <c r="H714" s="43"/>
    </row>
    <row r="715" spans="1:8" s="11" customFormat="1" ht="15" hidden="1" customHeight="1" outlineLevel="3" thickBot="1" x14ac:dyDescent="0.25">
      <c r="A715" s="2"/>
      <c r="B715" s="1"/>
      <c r="C715" s="27"/>
      <c r="D715" s="6"/>
      <c r="E715" s="7"/>
      <c r="F715" s="7"/>
      <c r="G715" s="31"/>
      <c r="H715" s="43"/>
    </row>
    <row r="716" spans="1:8" s="11" customFormat="1" ht="15" hidden="1" customHeight="1" outlineLevel="3" thickBot="1" x14ac:dyDescent="0.25">
      <c r="A716" s="2"/>
      <c r="B716" s="1"/>
      <c r="C716" s="27"/>
      <c r="D716" s="6"/>
      <c r="E716" s="7"/>
      <c r="F716" s="7"/>
      <c r="G716" s="31"/>
      <c r="H716" s="43"/>
    </row>
    <row r="717" spans="1:8" s="11" customFormat="1" ht="15" hidden="1" customHeight="1" outlineLevel="3" thickBot="1" x14ac:dyDescent="0.25">
      <c r="A717" s="2"/>
      <c r="B717" s="1"/>
      <c r="C717" s="27"/>
      <c r="D717" s="6"/>
      <c r="E717" s="7"/>
      <c r="F717" s="7"/>
      <c r="G717" s="31"/>
      <c r="H717" s="43"/>
    </row>
    <row r="718" spans="1:8" s="11" customFormat="1" ht="15" hidden="1" customHeight="1" outlineLevel="3" thickBot="1" x14ac:dyDescent="0.25">
      <c r="A718" s="2"/>
      <c r="B718" s="1"/>
      <c r="C718" s="27"/>
      <c r="D718" s="6"/>
      <c r="E718" s="7"/>
      <c r="F718" s="7"/>
      <c r="G718" s="31"/>
      <c r="H718" s="43"/>
    </row>
    <row r="719" spans="1:8" s="11" customFormat="1" ht="15" hidden="1" customHeight="1" outlineLevel="2" thickBot="1" x14ac:dyDescent="0.25">
      <c r="A719" s="106">
        <f>A714+0.01</f>
        <v>3.7499999999999996</v>
      </c>
      <c r="B719" s="107"/>
      <c r="C719" s="27"/>
      <c r="D719" s="6"/>
      <c r="E719" s="7"/>
      <c r="F719" s="30"/>
      <c r="G719" s="31"/>
      <c r="H719" s="43"/>
    </row>
    <row r="720" spans="1:8" s="11" customFormat="1" ht="15" hidden="1" customHeight="1" outlineLevel="3" thickBot="1" x14ac:dyDescent="0.25">
      <c r="A720" s="2"/>
      <c r="B720" s="1"/>
      <c r="C720" s="27"/>
      <c r="D720" s="6"/>
      <c r="E720" s="7"/>
      <c r="F720" s="7"/>
      <c r="G720" s="31"/>
      <c r="H720" s="43"/>
    </row>
    <row r="721" spans="1:8" s="11" customFormat="1" ht="15" hidden="1" customHeight="1" outlineLevel="3" thickBot="1" x14ac:dyDescent="0.25">
      <c r="A721" s="2"/>
      <c r="B721" s="1"/>
      <c r="C721" s="27"/>
      <c r="D721" s="6"/>
      <c r="E721" s="7"/>
      <c r="F721" s="7"/>
      <c r="G721" s="31"/>
      <c r="H721" s="43"/>
    </row>
    <row r="722" spans="1:8" s="11" customFormat="1" ht="15" hidden="1" customHeight="1" outlineLevel="3" thickBot="1" x14ac:dyDescent="0.25">
      <c r="A722" s="2"/>
      <c r="B722" s="1"/>
      <c r="C722" s="27"/>
      <c r="D722" s="6"/>
      <c r="E722" s="7"/>
      <c r="F722" s="7"/>
      <c r="G722" s="31"/>
      <c r="H722" s="43"/>
    </row>
    <row r="723" spans="1:8" s="11" customFormat="1" ht="15" hidden="1" customHeight="1" outlineLevel="3" thickBot="1" x14ac:dyDescent="0.25">
      <c r="A723" s="2"/>
      <c r="B723" s="1"/>
      <c r="C723" s="27"/>
      <c r="D723" s="6"/>
      <c r="E723" s="7"/>
      <c r="F723" s="7"/>
      <c r="G723" s="31"/>
      <c r="H723" s="43"/>
    </row>
    <row r="724" spans="1:8" s="11" customFormat="1" ht="15" hidden="1" customHeight="1" outlineLevel="1" collapsed="1" thickBot="1" x14ac:dyDescent="0.25">
      <c r="A724" s="2">
        <f>A698+0.1</f>
        <v>3.8000000000000007</v>
      </c>
      <c r="B724" s="1"/>
      <c r="C724" s="28"/>
      <c r="D724" s="5"/>
      <c r="E724" s="9"/>
      <c r="F724" s="10"/>
      <c r="G724" s="37"/>
      <c r="H724" s="36"/>
    </row>
    <row r="725" spans="1:8" s="11" customFormat="1" ht="15" hidden="1" customHeight="1" outlineLevel="2" collapsed="1" thickBot="1" x14ac:dyDescent="0.25">
      <c r="A725" s="106">
        <f>A724+0.01</f>
        <v>3.8100000000000005</v>
      </c>
      <c r="B725" s="107"/>
      <c r="C725" s="27"/>
      <c r="D725" s="6"/>
      <c r="E725" s="7"/>
      <c r="F725" s="7"/>
      <c r="G725" s="31"/>
      <c r="H725" s="43"/>
    </row>
    <row r="726" spans="1:8" s="11" customFormat="1" ht="15" hidden="1" customHeight="1" outlineLevel="3" thickBot="1" x14ac:dyDescent="0.25">
      <c r="A726" s="2"/>
      <c r="B726" s="1"/>
      <c r="C726" s="27"/>
      <c r="D726" s="6"/>
      <c r="E726" s="7"/>
      <c r="F726" s="7"/>
      <c r="G726" s="31"/>
      <c r="H726" s="43"/>
    </row>
    <row r="727" spans="1:8" s="11" customFormat="1" ht="15" hidden="1" customHeight="1" outlineLevel="3" thickBot="1" x14ac:dyDescent="0.25">
      <c r="A727" s="2"/>
      <c r="B727" s="1"/>
      <c r="C727" s="27"/>
      <c r="D727" s="6"/>
      <c r="E727" s="7"/>
      <c r="F727" s="7"/>
      <c r="G727" s="31"/>
      <c r="H727" s="43"/>
    </row>
    <row r="728" spans="1:8" s="11" customFormat="1" ht="15" hidden="1" customHeight="1" outlineLevel="3" thickBot="1" x14ac:dyDescent="0.25">
      <c r="A728" s="2"/>
      <c r="B728" s="1"/>
      <c r="C728" s="27"/>
      <c r="D728" s="6"/>
      <c r="E728" s="7"/>
      <c r="F728" s="7"/>
      <c r="G728" s="31"/>
      <c r="H728" s="43"/>
    </row>
    <row r="729" spans="1:8" s="11" customFormat="1" ht="15" hidden="1" customHeight="1" outlineLevel="3" thickBot="1" x14ac:dyDescent="0.25">
      <c r="A729" s="2"/>
      <c r="B729" s="1"/>
      <c r="C729" s="27"/>
      <c r="D729" s="6"/>
      <c r="E729" s="7"/>
      <c r="F729" s="7"/>
      <c r="G729" s="31"/>
      <c r="H729" s="43"/>
    </row>
    <row r="730" spans="1:8" s="11" customFormat="1" ht="15" hidden="1" customHeight="1" outlineLevel="2" collapsed="1" thickBot="1" x14ac:dyDescent="0.25">
      <c r="A730" s="106">
        <f>A725+0.01</f>
        <v>3.8200000000000003</v>
      </c>
      <c r="B730" s="107"/>
      <c r="C730" s="27"/>
      <c r="D730" s="6"/>
      <c r="E730" s="7"/>
      <c r="F730" s="7"/>
      <c r="G730" s="31"/>
      <c r="H730" s="43"/>
    </row>
    <row r="731" spans="1:8" s="11" customFormat="1" ht="15" hidden="1" customHeight="1" outlineLevel="3" thickBot="1" x14ac:dyDescent="0.25">
      <c r="A731" s="2"/>
      <c r="B731" s="1"/>
      <c r="C731" s="27"/>
      <c r="D731" s="6"/>
      <c r="E731" s="7"/>
      <c r="F731" s="7"/>
      <c r="G731" s="31"/>
      <c r="H731" s="43"/>
    </row>
    <row r="732" spans="1:8" s="11" customFormat="1" ht="15" hidden="1" customHeight="1" outlineLevel="3" thickBot="1" x14ac:dyDescent="0.25">
      <c r="A732" s="2"/>
      <c r="B732" s="1"/>
      <c r="C732" s="27"/>
      <c r="D732" s="6"/>
      <c r="E732" s="7"/>
      <c r="F732" s="7"/>
      <c r="G732" s="31"/>
      <c r="H732" s="43"/>
    </row>
    <row r="733" spans="1:8" s="11" customFormat="1" ht="15" hidden="1" customHeight="1" outlineLevel="3" thickBot="1" x14ac:dyDescent="0.25">
      <c r="A733" s="2"/>
      <c r="B733" s="1"/>
      <c r="C733" s="27"/>
      <c r="D733" s="6"/>
      <c r="E733" s="7"/>
      <c r="F733" s="7"/>
      <c r="G733" s="31"/>
      <c r="H733" s="43"/>
    </row>
    <row r="734" spans="1:8" s="11" customFormat="1" ht="15" hidden="1" customHeight="1" outlineLevel="3" thickBot="1" x14ac:dyDescent="0.25">
      <c r="A734" s="2"/>
      <c r="B734" s="1"/>
      <c r="C734" s="27"/>
      <c r="D734" s="6"/>
      <c r="E734" s="7"/>
      <c r="F734" s="7"/>
      <c r="G734" s="31"/>
      <c r="H734" s="43"/>
    </row>
    <row r="735" spans="1:8" s="11" customFormat="1" ht="15" hidden="1" customHeight="1" outlineLevel="2" collapsed="1" thickBot="1" x14ac:dyDescent="0.25">
      <c r="A735" s="106">
        <f>A730+0.01</f>
        <v>3.83</v>
      </c>
      <c r="B735" s="107"/>
      <c r="C735" s="27"/>
      <c r="D735" s="6"/>
      <c r="E735" s="7"/>
      <c r="F735" s="7"/>
      <c r="G735" s="31"/>
      <c r="H735" s="43"/>
    </row>
    <row r="736" spans="1:8" s="11" customFormat="1" ht="15" hidden="1" customHeight="1" outlineLevel="3" thickBot="1" x14ac:dyDescent="0.25">
      <c r="A736" s="2"/>
      <c r="B736" s="1"/>
      <c r="C736" s="27"/>
      <c r="D736" s="6"/>
      <c r="E736" s="7"/>
      <c r="F736" s="7"/>
      <c r="G736" s="31"/>
      <c r="H736" s="43"/>
    </row>
    <row r="737" spans="1:8" s="11" customFormat="1" ht="15" hidden="1" customHeight="1" outlineLevel="3" thickBot="1" x14ac:dyDescent="0.25">
      <c r="A737" s="2"/>
      <c r="B737" s="1"/>
      <c r="C737" s="27"/>
      <c r="D737" s="6"/>
      <c r="E737" s="7"/>
      <c r="F737" s="7"/>
      <c r="G737" s="31"/>
      <c r="H737" s="43"/>
    </row>
    <row r="738" spans="1:8" s="11" customFormat="1" ht="15" hidden="1" customHeight="1" outlineLevel="3" thickBot="1" x14ac:dyDescent="0.25">
      <c r="A738" s="2"/>
      <c r="B738" s="1"/>
      <c r="C738" s="27"/>
      <c r="D738" s="6"/>
      <c r="E738" s="7"/>
      <c r="F738" s="7"/>
      <c r="G738" s="31"/>
      <c r="H738" s="43"/>
    </row>
    <row r="739" spans="1:8" s="11" customFormat="1" ht="15" hidden="1" customHeight="1" outlineLevel="3" thickBot="1" x14ac:dyDescent="0.25">
      <c r="A739" s="2"/>
      <c r="B739" s="1"/>
      <c r="C739" s="27"/>
      <c r="D739" s="6"/>
      <c r="E739" s="7"/>
      <c r="F739" s="7"/>
      <c r="G739" s="31"/>
      <c r="H739" s="43"/>
    </row>
    <row r="740" spans="1:8" s="11" customFormat="1" ht="15" hidden="1" customHeight="1" outlineLevel="2" collapsed="1" thickBot="1" x14ac:dyDescent="0.25">
      <c r="A740" s="2">
        <f>A735+0.01</f>
        <v>3.84</v>
      </c>
      <c r="B740" s="1"/>
      <c r="C740" s="27"/>
      <c r="D740" s="6"/>
      <c r="E740" s="7"/>
      <c r="F740" s="7"/>
      <c r="G740" s="31"/>
      <c r="H740" s="43"/>
    </row>
    <row r="741" spans="1:8" s="11" customFormat="1" ht="15" hidden="1" customHeight="1" outlineLevel="3" thickBot="1" x14ac:dyDescent="0.25">
      <c r="A741" s="2"/>
      <c r="B741" s="1"/>
      <c r="C741" s="27"/>
      <c r="D741" s="6"/>
      <c r="E741" s="7"/>
      <c r="F741" s="7"/>
      <c r="G741" s="31"/>
      <c r="H741" s="43"/>
    </row>
    <row r="742" spans="1:8" s="11" customFormat="1" ht="15" hidden="1" customHeight="1" outlineLevel="3" thickBot="1" x14ac:dyDescent="0.25">
      <c r="A742" s="2"/>
      <c r="B742" s="1"/>
      <c r="C742" s="27"/>
      <c r="D742" s="6"/>
      <c r="E742" s="7"/>
      <c r="F742" s="7"/>
      <c r="G742" s="31"/>
      <c r="H742" s="43"/>
    </row>
    <row r="743" spans="1:8" s="11" customFormat="1" ht="15" hidden="1" customHeight="1" outlineLevel="3" thickBot="1" x14ac:dyDescent="0.25">
      <c r="A743" s="2"/>
      <c r="B743" s="1"/>
      <c r="C743" s="27"/>
      <c r="D743" s="6"/>
      <c r="E743" s="7"/>
      <c r="F743" s="7"/>
      <c r="G743" s="31"/>
      <c r="H743" s="43"/>
    </row>
    <row r="744" spans="1:8" s="11" customFormat="1" ht="15" hidden="1" customHeight="1" outlineLevel="3" thickBot="1" x14ac:dyDescent="0.25">
      <c r="A744" s="2"/>
      <c r="B744" s="1"/>
      <c r="C744" s="27"/>
      <c r="D744" s="6"/>
      <c r="E744" s="7"/>
      <c r="F744" s="7"/>
      <c r="G744" s="31"/>
      <c r="H744" s="43"/>
    </row>
    <row r="745" spans="1:8" s="11" customFormat="1" ht="15" hidden="1" customHeight="1" outlineLevel="2" thickBot="1" x14ac:dyDescent="0.25">
      <c r="A745" s="106">
        <f>A740+0.01</f>
        <v>3.8499999999999996</v>
      </c>
      <c r="B745" s="107"/>
      <c r="C745" s="27"/>
      <c r="D745" s="6"/>
      <c r="E745" s="7"/>
      <c r="F745" s="30"/>
      <c r="G745" s="31"/>
      <c r="H745" s="43"/>
    </row>
    <row r="746" spans="1:8" s="11" customFormat="1" ht="15" hidden="1" customHeight="1" outlineLevel="3" thickBot="1" x14ac:dyDescent="0.25">
      <c r="A746" s="2"/>
      <c r="B746" s="1"/>
      <c r="C746" s="27"/>
      <c r="D746" s="6"/>
      <c r="E746" s="7"/>
      <c r="F746" s="7"/>
      <c r="G746" s="31"/>
      <c r="H746" s="43"/>
    </row>
    <row r="747" spans="1:8" s="11" customFormat="1" ht="15" hidden="1" customHeight="1" outlineLevel="3" thickBot="1" x14ac:dyDescent="0.25">
      <c r="A747" s="2"/>
      <c r="B747" s="1"/>
      <c r="C747" s="27"/>
      <c r="D747" s="6"/>
      <c r="E747" s="7"/>
      <c r="F747" s="7"/>
      <c r="G747" s="31"/>
      <c r="H747" s="43"/>
    </row>
    <row r="748" spans="1:8" s="11" customFormat="1" ht="15" hidden="1" customHeight="1" outlineLevel="3" thickBot="1" x14ac:dyDescent="0.25">
      <c r="A748" s="2"/>
      <c r="B748" s="1"/>
      <c r="C748" s="27"/>
      <c r="D748" s="6"/>
      <c r="E748" s="7"/>
      <c r="F748" s="7"/>
      <c r="G748" s="31"/>
      <c r="H748" s="43"/>
    </row>
    <row r="749" spans="1:8" s="11" customFormat="1" ht="15" hidden="1" customHeight="1" outlineLevel="3" thickBot="1" x14ac:dyDescent="0.25">
      <c r="A749" s="2"/>
      <c r="B749" s="1"/>
      <c r="C749" s="27"/>
      <c r="D749" s="6"/>
      <c r="E749" s="7"/>
      <c r="F749" s="7"/>
      <c r="G749" s="31"/>
      <c r="H749" s="43"/>
    </row>
    <row r="750" spans="1:8" s="11" customFormat="1" ht="15" hidden="1" customHeight="1" outlineLevel="1" collapsed="1" thickBot="1" x14ac:dyDescent="0.25">
      <c r="A750" s="2">
        <f>A724+0.1</f>
        <v>3.9000000000000008</v>
      </c>
      <c r="B750" s="1"/>
      <c r="C750" s="28"/>
      <c r="D750" s="5"/>
      <c r="E750" s="9"/>
      <c r="F750" s="10"/>
      <c r="G750" s="37"/>
      <c r="H750" s="36"/>
    </row>
    <row r="751" spans="1:8" s="11" customFormat="1" ht="15" hidden="1" customHeight="1" outlineLevel="2" collapsed="1" thickBot="1" x14ac:dyDescent="0.25">
      <c r="A751" s="106">
        <f>A750+0.01</f>
        <v>3.9100000000000006</v>
      </c>
      <c r="B751" s="107"/>
      <c r="C751" s="27"/>
      <c r="D751" s="6"/>
      <c r="E751" s="7"/>
      <c r="F751" s="7"/>
      <c r="G751" s="31"/>
      <c r="H751" s="43"/>
    </row>
    <row r="752" spans="1:8" s="11" customFormat="1" ht="15" hidden="1" customHeight="1" outlineLevel="3" thickBot="1" x14ac:dyDescent="0.25">
      <c r="A752" s="2"/>
      <c r="B752" s="1"/>
      <c r="C752" s="27"/>
      <c r="D752" s="6"/>
      <c r="E752" s="7"/>
      <c r="F752" s="7"/>
      <c r="G752" s="31"/>
      <c r="H752" s="43"/>
    </row>
    <row r="753" spans="1:8" s="11" customFormat="1" ht="15" hidden="1" customHeight="1" outlineLevel="3" thickBot="1" x14ac:dyDescent="0.25">
      <c r="A753" s="2"/>
      <c r="B753" s="1"/>
      <c r="C753" s="27"/>
      <c r="D753" s="6"/>
      <c r="E753" s="7"/>
      <c r="F753" s="7"/>
      <c r="G753" s="31"/>
      <c r="H753" s="43"/>
    </row>
    <row r="754" spans="1:8" s="11" customFormat="1" ht="15" hidden="1" customHeight="1" outlineLevel="3" thickBot="1" x14ac:dyDescent="0.25">
      <c r="A754" s="2"/>
      <c r="B754" s="1"/>
      <c r="C754" s="27"/>
      <c r="D754" s="6"/>
      <c r="E754" s="7"/>
      <c r="F754" s="7"/>
      <c r="G754" s="31"/>
      <c r="H754" s="43"/>
    </row>
    <row r="755" spans="1:8" s="11" customFormat="1" ht="15" hidden="1" customHeight="1" outlineLevel="3" thickBot="1" x14ac:dyDescent="0.25">
      <c r="A755" s="2"/>
      <c r="B755" s="1"/>
      <c r="C755" s="27"/>
      <c r="D755" s="6"/>
      <c r="E755" s="7"/>
      <c r="F755" s="7"/>
      <c r="G755" s="31"/>
      <c r="H755" s="43"/>
    </row>
    <row r="756" spans="1:8" s="11" customFormat="1" ht="15" hidden="1" customHeight="1" outlineLevel="2" collapsed="1" thickBot="1" x14ac:dyDescent="0.25">
      <c r="A756" s="106">
        <f>A751+0.01</f>
        <v>3.9200000000000004</v>
      </c>
      <c r="B756" s="107"/>
      <c r="C756" s="27"/>
      <c r="D756" s="6"/>
      <c r="E756" s="7"/>
      <c r="F756" s="7"/>
      <c r="G756" s="31"/>
      <c r="H756" s="43"/>
    </row>
    <row r="757" spans="1:8" s="11" customFormat="1" ht="15" hidden="1" customHeight="1" outlineLevel="3" thickBot="1" x14ac:dyDescent="0.25">
      <c r="A757" s="2"/>
      <c r="B757" s="1"/>
      <c r="C757" s="27"/>
      <c r="D757" s="6"/>
      <c r="E757" s="7"/>
      <c r="F757" s="7"/>
      <c r="G757" s="31"/>
      <c r="H757" s="43"/>
    </row>
    <row r="758" spans="1:8" s="11" customFormat="1" ht="15" hidden="1" customHeight="1" outlineLevel="3" thickBot="1" x14ac:dyDescent="0.25">
      <c r="A758" s="2"/>
      <c r="B758" s="1"/>
      <c r="C758" s="27"/>
      <c r="D758" s="6"/>
      <c r="E758" s="7"/>
      <c r="F758" s="7"/>
      <c r="G758" s="31"/>
      <c r="H758" s="43"/>
    </row>
    <row r="759" spans="1:8" s="11" customFormat="1" ht="15" hidden="1" customHeight="1" outlineLevel="3" thickBot="1" x14ac:dyDescent="0.25">
      <c r="A759" s="2"/>
      <c r="B759" s="1"/>
      <c r="C759" s="27"/>
      <c r="D759" s="6"/>
      <c r="E759" s="7"/>
      <c r="F759" s="7"/>
      <c r="G759" s="31"/>
      <c r="H759" s="43"/>
    </row>
    <row r="760" spans="1:8" s="11" customFormat="1" ht="15" hidden="1" customHeight="1" outlineLevel="3" thickBot="1" x14ac:dyDescent="0.25">
      <c r="A760" s="2"/>
      <c r="B760" s="1"/>
      <c r="C760" s="27"/>
      <c r="D760" s="6"/>
      <c r="E760" s="7"/>
      <c r="F760" s="7"/>
      <c r="G760" s="31"/>
      <c r="H760" s="43"/>
    </row>
    <row r="761" spans="1:8" s="11" customFormat="1" ht="15" hidden="1" customHeight="1" outlineLevel="2" collapsed="1" thickBot="1" x14ac:dyDescent="0.25">
      <c r="A761" s="106">
        <f>A756+0.01</f>
        <v>3.93</v>
      </c>
      <c r="B761" s="107"/>
      <c r="C761" s="27"/>
      <c r="D761" s="6"/>
      <c r="E761" s="7"/>
      <c r="F761" s="7"/>
      <c r="G761" s="31"/>
      <c r="H761" s="43"/>
    </row>
    <row r="762" spans="1:8" s="11" customFormat="1" ht="15" hidden="1" customHeight="1" outlineLevel="3" thickBot="1" x14ac:dyDescent="0.25">
      <c r="A762" s="2"/>
      <c r="B762" s="1"/>
      <c r="C762" s="27"/>
      <c r="D762" s="6"/>
      <c r="E762" s="7"/>
      <c r="F762" s="7"/>
      <c r="G762" s="31"/>
      <c r="H762" s="43"/>
    </row>
    <row r="763" spans="1:8" s="11" customFormat="1" ht="15" hidden="1" customHeight="1" outlineLevel="3" thickBot="1" x14ac:dyDescent="0.25">
      <c r="A763" s="2"/>
      <c r="B763" s="1"/>
      <c r="C763" s="27"/>
      <c r="D763" s="6"/>
      <c r="E763" s="7"/>
      <c r="F763" s="7"/>
      <c r="G763" s="31"/>
      <c r="H763" s="43"/>
    </row>
    <row r="764" spans="1:8" s="11" customFormat="1" ht="15" hidden="1" customHeight="1" outlineLevel="3" thickBot="1" x14ac:dyDescent="0.25">
      <c r="A764" s="2"/>
      <c r="B764" s="1"/>
      <c r="C764" s="27"/>
      <c r="D764" s="6"/>
      <c r="E764" s="7"/>
      <c r="F764" s="7"/>
      <c r="G764" s="31"/>
      <c r="H764" s="43"/>
    </row>
    <row r="765" spans="1:8" s="11" customFormat="1" ht="15" hidden="1" customHeight="1" outlineLevel="3" thickBot="1" x14ac:dyDescent="0.25">
      <c r="A765" s="2"/>
      <c r="B765" s="1"/>
      <c r="C765" s="27"/>
      <c r="D765" s="6"/>
      <c r="E765" s="7"/>
      <c r="F765" s="7"/>
      <c r="G765" s="31"/>
      <c r="H765" s="43"/>
    </row>
    <row r="766" spans="1:8" s="11" customFormat="1" ht="15" hidden="1" customHeight="1" outlineLevel="2" collapsed="1" thickBot="1" x14ac:dyDescent="0.25">
      <c r="A766" s="2">
        <f>A761+0.01</f>
        <v>3.94</v>
      </c>
      <c r="B766" s="1"/>
      <c r="C766" s="27"/>
      <c r="D766" s="6"/>
      <c r="E766" s="7"/>
      <c r="F766" s="7"/>
      <c r="G766" s="31"/>
      <c r="H766" s="43"/>
    </row>
    <row r="767" spans="1:8" s="11" customFormat="1" ht="15" hidden="1" customHeight="1" outlineLevel="3" thickBot="1" x14ac:dyDescent="0.25">
      <c r="A767" s="2"/>
      <c r="B767" s="1"/>
      <c r="C767" s="27"/>
      <c r="D767" s="6"/>
      <c r="E767" s="7"/>
      <c r="F767" s="7"/>
      <c r="G767" s="31"/>
      <c r="H767" s="43"/>
    </row>
    <row r="768" spans="1:8" s="11" customFormat="1" ht="15" hidden="1" customHeight="1" outlineLevel="3" thickBot="1" x14ac:dyDescent="0.25">
      <c r="A768" s="2"/>
      <c r="B768" s="1"/>
      <c r="C768" s="27"/>
      <c r="D768" s="6"/>
      <c r="E768" s="7"/>
      <c r="F768" s="7"/>
      <c r="G768" s="31"/>
      <c r="H768" s="43"/>
    </row>
    <row r="769" spans="1:8" s="11" customFormat="1" ht="15" hidden="1" customHeight="1" outlineLevel="3" thickBot="1" x14ac:dyDescent="0.25">
      <c r="A769" s="2"/>
      <c r="B769" s="1"/>
      <c r="C769" s="27"/>
      <c r="D769" s="6"/>
      <c r="E769" s="7"/>
      <c r="F769" s="7"/>
      <c r="G769" s="31"/>
      <c r="H769" s="43"/>
    </row>
    <row r="770" spans="1:8" s="11" customFormat="1" ht="15" hidden="1" customHeight="1" outlineLevel="3" thickBot="1" x14ac:dyDescent="0.25">
      <c r="A770" s="2"/>
      <c r="B770" s="1"/>
      <c r="C770" s="27"/>
      <c r="D770" s="6"/>
      <c r="E770" s="7"/>
      <c r="F770" s="7"/>
      <c r="G770" s="31"/>
      <c r="H770" s="43"/>
    </row>
    <row r="771" spans="1:8" s="11" customFormat="1" ht="15" hidden="1" customHeight="1" outlineLevel="2" collapsed="1" thickBot="1" x14ac:dyDescent="0.25">
      <c r="A771" s="106">
        <f>A766+0.01</f>
        <v>3.9499999999999997</v>
      </c>
      <c r="B771" s="107"/>
      <c r="C771" s="27"/>
      <c r="D771" s="6"/>
      <c r="E771" s="7"/>
      <c r="F771" s="30"/>
      <c r="G771" s="31"/>
      <c r="H771" s="43"/>
    </row>
    <row r="772" spans="1:8" s="11" customFormat="1" ht="15" hidden="1" customHeight="1" outlineLevel="3" thickBot="1" x14ac:dyDescent="0.25">
      <c r="A772" s="2"/>
      <c r="B772" s="1"/>
      <c r="C772" s="27"/>
      <c r="D772" s="6"/>
      <c r="E772" s="7"/>
      <c r="F772" s="7"/>
      <c r="G772" s="31"/>
      <c r="H772" s="43"/>
    </row>
    <row r="773" spans="1:8" s="11" customFormat="1" ht="15" hidden="1" customHeight="1" outlineLevel="3" thickBot="1" x14ac:dyDescent="0.25">
      <c r="A773" s="2"/>
      <c r="B773" s="1"/>
      <c r="C773" s="27"/>
      <c r="D773" s="6"/>
      <c r="E773" s="7"/>
      <c r="F773" s="7"/>
      <c r="G773" s="31"/>
      <c r="H773" s="43"/>
    </row>
    <row r="774" spans="1:8" s="11" customFormat="1" ht="14.25" hidden="1" customHeight="1" outlineLevel="3" thickBot="1" x14ac:dyDescent="0.25">
      <c r="A774" s="2"/>
      <c r="B774" s="1"/>
      <c r="C774" s="27"/>
      <c r="D774" s="6"/>
      <c r="E774" s="7"/>
      <c r="F774" s="7"/>
      <c r="G774" s="31"/>
      <c r="H774" s="43"/>
    </row>
    <row r="775" spans="1:8" s="11" customFormat="1" ht="15" hidden="1" customHeight="1" outlineLevel="3" thickBot="1" x14ac:dyDescent="0.25">
      <c r="A775" s="2"/>
      <c r="B775" s="1"/>
      <c r="C775" s="27"/>
      <c r="D775" s="6"/>
      <c r="E775" s="7"/>
      <c r="F775" s="7"/>
      <c r="G775" s="31"/>
      <c r="H775" s="43"/>
    </row>
    <row r="776" spans="1:8" s="29" customFormat="1" ht="15" customHeight="1" thickBot="1" x14ac:dyDescent="0.25">
      <c r="A776" s="103" t="s">
        <v>24</v>
      </c>
      <c r="B776" s="104"/>
      <c r="C776" s="104"/>
      <c r="D776" s="104"/>
      <c r="E776" s="104"/>
      <c r="F776" s="104"/>
      <c r="G776" s="105"/>
      <c r="H776" s="38"/>
    </row>
    <row r="777" spans="1:8" s="8" customFormat="1" ht="12" customHeight="1" x14ac:dyDescent="0.2">
      <c r="A777" s="123">
        <v>4</v>
      </c>
      <c r="B777" s="124"/>
      <c r="C777" s="65" t="s">
        <v>52</v>
      </c>
      <c r="D777" s="41"/>
      <c r="E777" s="41"/>
      <c r="F777" s="41"/>
      <c r="G777" s="42"/>
      <c r="H777" s="71"/>
    </row>
    <row r="778" spans="1:8" s="11" customFormat="1" ht="15" customHeight="1" outlineLevel="1" x14ac:dyDescent="0.2">
      <c r="A778" s="2">
        <f>A777+0.1</f>
        <v>4.0999999999999996</v>
      </c>
      <c r="B778" s="1"/>
      <c r="C778" s="66" t="s">
        <v>53</v>
      </c>
      <c r="D778" s="5"/>
      <c r="E778" s="72"/>
      <c r="F778" s="10"/>
      <c r="G778" s="73"/>
      <c r="H778" s="74"/>
    </row>
    <row r="779" spans="1:8" s="11" customFormat="1" ht="15" customHeight="1" outlineLevel="2" x14ac:dyDescent="0.2">
      <c r="A779" s="106">
        <f>A778+0.01</f>
        <v>4.1099999999999994</v>
      </c>
      <c r="B779" s="107"/>
      <c r="C779" s="61" t="s">
        <v>54</v>
      </c>
      <c r="D779" s="7"/>
      <c r="E779" s="75"/>
      <c r="F779" s="75"/>
      <c r="G779" s="76"/>
      <c r="H779" s="43"/>
    </row>
    <row r="780" spans="1:8" s="11" customFormat="1" ht="33.75" outlineLevel="3" x14ac:dyDescent="0.2">
      <c r="A780" s="2"/>
      <c r="B780" s="1"/>
      <c r="C780" s="63" t="s">
        <v>62</v>
      </c>
      <c r="D780" s="6" t="s">
        <v>16</v>
      </c>
      <c r="E780" s="75">
        <v>18</v>
      </c>
      <c r="F780" s="75"/>
      <c r="G780" s="76"/>
      <c r="H780" s="43"/>
    </row>
    <row r="781" spans="1:8" s="11" customFormat="1" ht="33.75" outlineLevel="3" x14ac:dyDescent="0.2">
      <c r="A781" s="2"/>
      <c r="B781" s="1"/>
      <c r="C781" s="58" t="s">
        <v>121</v>
      </c>
      <c r="D781" s="6" t="s">
        <v>17</v>
      </c>
      <c r="E781" s="75">
        <v>18</v>
      </c>
      <c r="F781" s="75"/>
      <c r="G781" s="76"/>
      <c r="H781" s="43"/>
    </row>
    <row r="782" spans="1:8" s="11" customFormat="1" ht="15" customHeight="1" outlineLevel="3" x14ac:dyDescent="0.2">
      <c r="A782" s="2"/>
      <c r="B782" s="1"/>
      <c r="C782" s="56" t="s">
        <v>61</v>
      </c>
      <c r="D782" s="6" t="s">
        <v>16</v>
      </c>
      <c r="E782" s="75">
        <v>18</v>
      </c>
      <c r="F782" s="75"/>
      <c r="G782" s="76"/>
      <c r="H782" s="43"/>
    </row>
    <row r="783" spans="1:8" s="11" customFormat="1" ht="15" hidden="1" customHeight="1" outlineLevel="3" x14ac:dyDescent="0.2">
      <c r="A783" s="2"/>
      <c r="B783" s="1"/>
      <c r="C783" s="27"/>
      <c r="D783" s="6"/>
      <c r="E783" s="75"/>
      <c r="F783" s="75"/>
      <c r="G783" s="76"/>
      <c r="H783" s="43"/>
    </row>
    <row r="784" spans="1:8" s="11" customFormat="1" ht="15" hidden="1" customHeight="1" outlineLevel="3" x14ac:dyDescent="0.2">
      <c r="A784" s="2"/>
      <c r="B784" s="1"/>
      <c r="C784" s="27"/>
      <c r="D784" s="6"/>
      <c r="E784" s="75"/>
      <c r="F784" s="75"/>
      <c r="G784" s="76"/>
      <c r="H784" s="43"/>
    </row>
    <row r="785" spans="1:8" s="11" customFormat="1" ht="15" customHeight="1" outlineLevel="2" x14ac:dyDescent="0.2">
      <c r="A785" s="106">
        <f>A779+0.01</f>
        <v>4.1199999999999992</v>
      </c>
      <c r="B785" s="107"/>
      <c r="C785" s="61" t="s">
        <v>55</v>
      </c>
      <c r="D785" s="7"/>
      <c r="E785" s="75"/>
      <c r="F785" s="75"/>
      <c r="G785" s="76"/>
      <c r="H785" s="43"/>
    </row>
    <row r="786" spans="1:8" s="11" customFormat="1" ht="15" customHeight="1" outlineLevel="3" x14ac:dyDescent="0.2">
      <c r="A786" s="2"/>
      <c r="B786" s="1"/>
      <c r="C786" s="56" t="s">
        <v>118</v>
      </c>
      <c r="D786" s="6" t="s">
        <v>17</v>
      </c>
      <c r="E786" s="75">
        <v>18</v>
      </c>
      <c r="F786" s="75"/>
      <c r="G786" s="76"/>
      <c r="H786" s="43"/>
    </row>
    <row r="787" spans="1:8" s="11" customFormat="1" ht="15" customHeight="1" outlineLevel="3" x14ac:dyDescent="0.2">
      <c r="A787" s="2"/>
      <c r="B787" s="1"/>
      <c r="C787" s="56" t="s">
        <v>119</v>
      </c>
      <c r="D787" s="6" t="s">
        <v>17</v>
      </c>
      <c r="E787" s="75">
        <v>18</v>
      </c>
      <c r="F787" s="75"/>
      <c r="G787" s="76"/>
      <c r="H787" s="43"/>
    </row>
    <row r="788" spans="1:8" s="11" customFormat="1" ht="15" customHeight="1" outlineLevel="3" x14ac:dyDescent="0.2">
      <c r="A788" s="2"/>
      <c r="B788" s="1"/>
      <c r="C788" s="56" t="s">
        <v>120</v>
      </c>
      <c r="D788" s="6" t="s">
        <v>17</v>
      </c>
      <c r="E788" s="75">
        <v>18</v>
      </c>
      <c r="F788" s="75"/>
      <c r="G788" s="76"/>
      <c r="H788" s="43"/>
    </row>
    <row r="789" spans="1:8" s="11" customFormat="1" ht="15" hidden="1" customHeight="1" outlineLevel="3" x14ac:dyDescent="0.2">
      <c r="A789" s="2"/>
      <c r="B789" s="1"/>
      <c r="C789" s="27"/>
      <c r="D789" s="6"/>
      <c r="E789" s="75"/>
      <c r="F789" s="75"/>
      <c r="G789" s="76"/>
      <c r="H789" s="43"/>
    </row>
    <row r="790" spans="1:8" s="11" customFormat="1" ht="15" customHeight="1" outlineLevel="2" x14ac:dyDescent="0.2">
      <c r="A790" s="106">
        <f>A785+0.01</f>
        <v>4.129999999999999</v>
      </c>
      <c r="B790" s="107"/>
      <c r="C790" s="61" t="s">
        <v>56</v>
      </c>
      <c r="D790" s="7"/>
      <c r="E790" s="75"/>
      <c r="F790" s="75"/>
      <c r="G790" s="76"/>
      <c r="H790" s="43"/>
    </row>
    <row r="791" spans="1:8" s="11" customFormat="1" ht="15" customHeight="1" outlineLevel="3" x14ac:dyDescent="0.2">
      <c r="A791" s="2">
        <v>4.1310000000000002</v>
      </c>
      <c r="B791" s="1"/>
      <c r="C791" s="60" t="s">
        <v>59</v>
      </c>
      <c r="D791" s="7"/>
      <c r="E791" s="75"/>
      <c r="F791" s="75"/>
      <c r="G791" s="76"/>
      <c r="H791" s="43"/>
    </row>
    <row r="792" spans="1:8" s="11" customFormat="1" ht="56.25" outlineLevel="3" x14ac:dyDescent="0.2">
      <c r="A792" s="2"/>
      <c r="B792" s="1"/>
      <c r="C792" s="56" t="s">
        <v>122</v>
      </c>
      <c r="D792" s="6" t="s">
        <v>16</v>
      </c>
      <c r="E792" s="75">
        <v>96</v>
      </c>
      <c r="F792" s="75"/>
      <c r="G792" s="76"/>
      <c r="H792" s="43"/>
    </row>
    <row r="793" spans="1:8" s="11" customFormat="1" ht="15" customHeight="1" outlineLevel="3" x14ac:dyDescent="0.2">
      <c r="A793" s="2">
        <v>4.1319999999999997</v>
      </c>
      <c r="B793" s="1"/>
      <c r="C793" s="61" t="s">
        <v>60</v>
      </c>
      <c r="D793" s="7"/>
      <c r="E793" s="75"/>
      <c r="F793" s="75"/>
      <c r="G793" s="76"/>
      <c r="H793" s="43"/>
    </row>
    <row r="794" spans="1:8" s="11" customFormat="1" ht="22.5" outlineLevel="3" x14ac:dyDescent="0.2">
      <c r="A794" s="2"/>
      <c r="B794" s="1"/>
      <c r="C794" s="56" t="s">
        <v>64</v>
      </c>
      <c r="D794" s="6" t="s">
        <v>16</v>
      </c>
      <c r="E794" s="75">
        <f>16*4+3*2</f>
        <v>70</v>
      </c>
      <c r="F794" s="75"/>
      <c r="G794" s="76"/>
      <c r="H794" s="43"/>
    </row>
    <row r="795" spans="1:8" s="11" customFormat="1" ht="15" customHeight="1" outlineLevel="3" x14ac:dyDescent="0.2">
      <c r="A795" s="2">
        <v>4.133</v>
      </c>
      <c r="B795" s="1"/>
      <c r="C795" s="61" t="s">
        <v>63</v>
      </c>
      <c r="D795" s="7"/>
      <c r="E795" s="75"/>
      <c r="F795" s="75"/>
      <c r="G795" s="76"/>
      <c r="H795" s="43"/>
    </row>
    <row r="796" spans="1:8" s="11" customFormat="1" ht="22.5" outlineLevel="3" x14ac:dyDescent="0.2">
      <c r="A796" s="2"/>
      <c r="B796" s="1"/>
      <c r="C796" s="58" t="s">
        <v>65</v>
      </c>
      <c r="D796" s="6" t="s">
        <v>16</v>
      </c>
      <c r="E796" s="75">
        <v>18</v>
      </c>
      <c r="F796" s="75"/>
      <c r="G796" s="76"/>
      <c r="H796" s="43"/>
    </row>
    <row r="797" spans="1:8" s="11" customFormat="1" ht="15" hidden="1" customHeight="1" outlineLevel="2" collapsed="1" x14ac:dyDescent="0.2">
      <c r="A797" s="2">
        <f>A790+0.01</f>
        <v>4.1399999999999988</v>
      </c>
      <c r="B797" s="1"/>
      <c r="C797" s="27"/>
      <c r="D797" s="6"/>
      <c r="E797" s="75"/>
      <c r="F797" s="75"/>
      <c r="G797" s="76"/>
      <c r="H797" s="43"/>
    </row>
    <row r="798" spans="1:8" s="11" customFormat="1" ht="15" hidden="1" customHeight="1" outlineLevel="3" x14ac:dyDescent="0.2">
      <c r="A798" s="2"/>
      <c r="B798" s="1"/>
      <c r="C798" s="27"/>
      <c r="D798" s="6"/>
      <c r="E798" s="75"/>
      <c r="F798" s="75"/>
      <c r="G798" s="76"/>
      <c r="H798" s="43"/>
    </row>
    <row r="799" spans="1:8" s="11" customFormat="1" ht="15" hidden="1" customHeight="1" outlineLevel="3" x14ac:dyDescent="0.2">
      <c r="A799" s="2"/>
      <c r="B799" s="1"/>
      <c r="C799" s="27"/>
      <c r="D799" s="6"/>
      <c r="E799" s="75"/>
      <c r="F799" s="75"/>
      <c r="G799" s="76"/>
      <c r="H799" s="43"/>
    </row>
    <row r="800" spans="1:8" s="11" customFormat="1" ht="15" hidden="1" customHeight="1" outlineLevel="3" x14ac:dyDescent="0.2">
      <c r="A800" s="2"/>
      <c r="B800" s="1"/>
      <c r="C800" s="27"/>
      <c r="D800" s="6"/>
      <c r="E800" s="75"/>
      <c r="F800" s="75"/>
      <c r="G800" s="76"/>
      <c r="H800" s="43"/>
    </row>
    <row r="801" spans="1:8" s="11" customFormat="1" ht="15" hidden="1" customHeight="1" outlineLevel="3" x14ac:dyDescent="0.2">
      <c r="A801" s="2"/>
      <c r="B801" s="1"/>
      <c r="C801" s="27"/>
      <c r="D801" s="6"/>
      <c r="E801" s="75"/>
      <c r="F801" s="75"/>
      <c r="G801" s="76"/>
      <c r="H801" s="43"/>
    </row>
    <row r="802" spans="1:8" s="11" customFormat="1" ht="15" hidden="1" customHeight="1" outlineLevel="2" collapsed="1" x14ac:dyDescent="0.2">
      <c r="A802" s="106">
        <f>A797+0.01</f>
        <v>4.1499999999999986</v>
      </c>
      <c r="B802" s="107"/>
      <c r="C802" s="27"/>
      <c r="D802" s="6"/>
      <c r="E802" s="75"/>
      <c r="F802" s="77"/>
      <c r="G802" s="76"/>
      <c r="H802" s="43"/>
    </row>
    <row r="803" spans="1:8" s="11" customFormat="1" ht="15" hidden="1" customHeight="1" outlineLevel="3" x14ac:dyDescent="0.2">
      <c r="A803" s="2"/>
      <c r="B803" s="1"/>
      <c r="C803" s="27"/>
      <c r="D803" s="6"/>
      <c r="E803" s="75"/>
      <c r="F803" s="75"/>
      <c r="G803" s="76"/>
      <c r="H803" s="43"/>
    </row>
    <row r="804" spans="1:8" s="11" customFormat="1" ht="15" hidden="1" customHeight="1" outlineLevel="3" x14ac:dyDescent="0.2">
      <c r="A804" s="2"/>
      <c r="B804" s="1"/>
      <c r="C804" s="27"/>
      <c r="D804" s="6"/>
      <c r="E804" s="75"/>
      <c r="F804" s="75"/>
      <c r="G804" s="76"/>
      <c r="H804" s="43"/>
    </row>
    <row r="805" spans="1:8" s="11" customFormat="1" ht="15" hidden="1" customHeight="1" outlineLevel="3" x14ac:dyDescent="0.2">
      <c r="A805" s="2"/>
      <c r="B805" s="1"/>
      <c r="C805" s="27"/>
      <c r="D805" s="6"/>
      <c r="E805" s="75"/>
      <c r="F805" s="75"/>
      <c r="G805" s="76"/>
      <c r="H805" s="43"/>
    </row>
    <row r="806" spans="1:8" s="11" customFormat="1" ht="15" hidden="1" customHeight="1" outlineLevel="3" x14ac:dyDescent="0.2">
      <c r="A806" s="2"/>
      <c r="B806" s="1"/>
      <c r="C806" s="27"/>
      <c r="D806" s="6"/>
      <c r="E806" s="75"/>
      <c r="F806" s="75"/>
      <c r="G806" s="76"/>
      <c r="H806" s="43"/>
    </row>
    <row r="807" spans="1:8" s="11" customFormat="1" ht="15" customHeight="1" outlineLevel="1" x14ac:dyDescent="0.2">
      <c r="A807" s="2">
        <f>A778+0.1</f>
        <v>4.1999999999999993</v>
      </c>
      <c r="B807" s="1"/>
      <c r="C807" s="66" t="s">
        <v>57</v>
      </c>
      <c r="D807" s="5"/>
      <c r="E807" s="72"/>
      <c r="F807" s="10"/>
      <c r="G807" s="73"/>
      <c r="H807" s="74"/>
    </row>
    <row r="808" spans="1:8" s="11" customFormat="1" ht="33.75" outlineLevel="2" collapsed="1" x14ac:dyDescent="0.2">
      <c r="A808" s="106">
        <f>A807+0.01</f>
        <v>4.2099999999999991</v>
      </c>
      <c r="B808" s="107"/>
      <c r="C808" s="56" t="s">
        <v>58</v>
      </c>
      <c r="D808" s="6" t="s">
        <v>17</v>
      </c>
      <c r="E808" s="75">
        <v>1</v>
      </c>
      <c r="F808" s="75"/>
      <c r="G808" s="76"/>
      <c r="H808" s="43"/>
    </row>
    <row r="809" spans="1:8" s="11" customFormat="1" ht="15" hidden="1" customHeight="1" outlineLevel="3" x14ac:dyDescent="0.2">
      <c r="A809" s="2"/>
      <c r="B809" s="1"/>
      <c r="C809" s="27"/>
      <c r="D809" s="6"/>
      <c r="E809" s="7"/>
      <c r="F809" s="7"/>
      <c r="G809" s="31"/>
      <c r="H809" s="43"/>
    </row>
    <row r="810" spans="1:8" s="11" customFormat="1" ht="15" hidden="1" customHeight="1" outlineLevel="3" x14ac:dyDescent="0.2">
      <c r="A810" s="2"/>
      <c r="B810" s="1"/>
      <c r="C810" s="27"/>
      <c r="D810" s="6"/>
      <c r="E810" s="7"/>
      <c r="F810" s="7"/>
      <c r="G810" s="31"/>
      <c r="H810" s="43"/>
    </row>
    <row r="811" spans="1:8" s="11" customFormat="1" ht="15" hidden="1" customHeight="1" outlineLevel="3" x14ac:dyDescent="0.2">
      <c r="A811" s="2"/>
      <c r="B811" s="1"/>
      <c r="C811" s="27"/>
      <c r="D811" s="6"/>
      <c r="E811" s="7"/>
      <c r="F811" s="7"/>
      <c r="G811" s="31"/>
      <c r="H811" s="43"/>
    </row>
    <row r="812" spans="1:8" s="11" customFormat="1" ht="15" hidden="1" customHeight="1" outlineLevel="3" x14ac:dyDescent="0.2">
      <c r="A812" s="2"/>
      <c r="B812" s="1"/>
      <c r="C812" s="27"/>
      <c r="D812" s="6"/>
      <c r="E812" s="7"/>
      <c r="F812" s="7"/>
      <c r="G812" s="31"/>
      <c r="H812" s="43"/>
    </row>
    <row r="813" spans="1:8" s="11" customFormat="1" ht="15" hidden="1" customHeight="1" outlineLevel="2" collapsed="1" x14ac:dyDescent="0.2">
      <c r="A813" s="106">
        <f>A808+0.01</f>
        <v>4.2199999999999989</v>
      </c>
      <c r="B813" s="107"/>
      <c r="C813" s="27"/>
      <c r="D813" s="6"/>
      <c r="E813" s="7"/>
      <c r="F813" s="7"/>
      <c r="G813" s="31"/>
      <c r="H813" s="43"/>
    </row>
    <row r="814" spans="1:8" s="11" customFormat="1" ht="15" hidden="1" customHeight="1" outlineLevel="3" x14ac:dyDescent="0.2">
      <c r="A814" s="2"/>
      <c r="B814" s="1"/>
      <c r="C814" s="27"/>
      <c r="D814" s="6"/>
      <c r="E814" s="7"/>
      <c r="F814" s="7"/>
      <c r="G814" s="31"/>
      <c r="H814" s="43"/>
    </row>
    <row r="815" spans="1:8" s="11" customFormat="1" ht="15" hidden="1" customHeight="1" outlineLevel="3" x14ac:dyDescent="0.2">
      <c r="A815" s="2"/>
      <c r="B815" s="1"/>
      <c r="C815" s="27"/>
      <c r="D815" s="6"/>
      <c r="E815" s="7"/>
      <c r="F815" s="7"/>
      <c r="G815" s="31"/>
      <c r="H815" s="43"/>
    </row>
    <row r="816" spans="1:8" s="11" customFormat="1" ht="15" hidden="1" customHeight="1" outlineLevel="3" x14ac:dyDescent="0.2">
      <c r="A816" s="2"/>
      <c r="B816" s="1"/>
      <c r="C816" s="27"/>
      <c r="D816" s="6"/>
      <c r="E816" s="7"/>
      <c r="F816" s="7"/>
      <c r="G816" s="31"/>
      <c r="H816" s="43"/>
    </row>
    <row r="817" spans="1:8" s="11" customFormat="1" ht="15" hidden="1" customHeight="1" outlineLevel="3" x14ac:dyDescent="0.2">
      <c r="A817" s="2"/>
      <c r="B817" s="1"/>
      <c r="C817" s="27"/>
      <c r="D817" s="6"/>
      <c r="E817" s="7"/>
      <c r="F817" s="7"/>
      <c r="G817" s="31"/>
      <c r="H817" s="43"/>
    </row>
    <row r="818" spans="1:8" s="11" customFormat="1" ht="15" hidden="1" customHeight="1" outlineLevel="2" collapsed="1" x14ac:dyDescent="0.2">
      <c r="A818" s="106">
        <f>A813+0.01</f>
        <v>4.2299999999999986</v>
      </c>
      <c r="B818" s="107"/>
      <c r="C818" s="27"/>
      <c r="D818" s="6"/>
      <c r="E818" s="7"/>
      <c r="F818" s="7"/>
      <c r="G818" s="31"/>
      <c r="H818" s="43"/>
    </row>
    <row r="819" spans="1:8" s="11" customFormat="1" ht="15" hidden="1" customHeight="1" outlineLevel="3" x14ac:dyDescent="0.2">
      <c r="A819" s="2"/>
      <c r="B819" s="1"/>
      <c r="C819" s="27"/>
      <c r="D819" s="6"/>
      <c r="E819" s="7"/>
      <c r="F819" s="7"/>
      <c r="G819" s="31"/>
      <c r="H819" s="43"/>
    </row>
    <row r="820" spans="1:8" s="11" customFormat="1" ht="15" hidden="1" customHeight="1" outlineLevel="3" x14ac:dyDescent="0.2">
      <c r="A820" s="2"/>
      <c r="B820" s="1"/>
      <c r="C820" s="27"/>
      <c r="D820" s="6"/>
      <c r="E820" s="7"/>
      <c r="F820" s="7"/>
      <c r="G820" s="31"/>
      <c r="H820" s="43"/>
    </row>
    <row r="821" spans="1:8" s="11" customFormat="1" ht="15" hidden="1" customHeight="1" outlineLevel="3" x14ac:dyDescent="0.2">
      <c r="A821" s="2"/>
      <c r="B821" s="1"/>
      <c r="C821" s="27"/>
      <c r="D821" s="6"/>
      <c r="E821" s="7"/>
      <c r="F821" s="7"/>
      <c r="G821" s="31"/>
      <c r="H821" s="43"/>
    </row>
    <row r="822" spans="1:8" s="11" customFormat="1" ht="15" hidden="1" customHeight="1" outlineLevel="3" x14ac:dyDescent="0.2">
      <c r="A822" s="2"/>
      <c r="B822" s="1"/>
      <c r="C822" s="27"/>
      <c r="D822" s="6"/>
      <c r="E822" s="7"/>
      <c r="F822" s="7"/>
      <c r="G822" s="31"/>
      <c r="H822" s="43"/>
    </row>
    <row r="823" spans="1:8" s="11" customFormat="1" ht="15" hidden="1" customHeight="1" outlineLevel="2" collapsed="1" x14ac:dyDescent="0.2">
      <c r="A823" s="2">
        <f>A818+0.01</f>
        <v>4.2399999999999984</v>
      </c>
      <c r="B823" s="1"/>
      <c r="C823" s="27"/>
      <c r="D823" s="6"/>
      <c r="E823" s="7"/>
      <c r="F823" s="7"/>
      <c r="G823" s="31"/>
      <c r="H823" s="43"/>
    </row>
    <row r="824" spans="1:8" s="11" customFormat="1" ht="15" hidden="1" customHeight="1" outlineLevel="3" x14ac:dyDescent="0.2">
      <c r="A824" s="2"/>
      <c r="B824" s="1"/>
      <c r="C824" s="27"/>
      <c r="D824" s="6"/>
      <c r="E824" s="7"/>
      <c r="F824" s="7"/>
      <c r="G824" s="31"/>
      <c r="H824" s="43"/>
    </row>
    <row r="825" spans="1:8" s="11" customFormat="1" ht="15" hidden="1" customHeight="1" outlineLevel="3" x14ac:dyDescent="0.2">
      <c r="A825" s="2"/>
      <c r="B825" s="1"/>
      <c r="C825" s="27"/>
      <c r="D825" s="6"/>
      <c r="E825" s="7"/>
      <c r="F825" s="7"/>
      <c r="G825" s="31"/>
      <c r="H825" s="43"/>
    </row>
    <row r="826" spans="1:8" s="11" customFormat="1" ht="15" hidden="1" customHeight="1" outlineLevel="3" x14ac:dyDescent="0.2">
      <c r="A826" s="2"/>
      <c r="B826" s="1"/>
      <c r="C826" s="27"/>
      <c r="D826" s="6"/>
      <c r="E826" s="7"/>
      <c r="F826" s="7"/>
      <c r="G826" s="31"/>
      <c r="H826" s="43"/>
    </row>
    <row r="827" spans="1:8" s="11" customFormat="1" ht="15" hidden="1" customHeight="1" outlineLevel="3" x14ac:dyDescent="0.2">
      <c r="A827" s="2"/>
      <c r="B827" s="1"/>
      <c r="C827" s="27"/>
      <c r="D827" s="6"/>
      <c r="E827" s="7"/>
      <c r="F827" s="7"/>
      <c r="G827" s="31"/>
      <c r="H827" s="43"/>
    </row>
    <row r="828" spans="1:8" s="11" customFormat="1" ht="15" hidden="1" customHeight="1" outlineLevel="2" collapsed="1" x14ac:dyDescent="0.2">
      <c r="A828" s="106">
        <f>A823+0.01</f>
        <v>4.2499999999999982</v>
      </c>
      <c r="B828" s="107"/>
      <c r="C828" s="27"/>
      <c r="D828" s="6"/>
      <c r="E828" s="7"/>
      <c r="F828" s="30"/>
      <c r="G828" s="31"/>
      <c r="H828" s="43"/>
    </row>
    <row r="829" spans="1:8" s="11" customFormat="1" ht="15" hidden="1" customHeight="1" outlineLevel="3" x14ac:dyDescent="0.2">
      <c r="A829" s="2"/>
      <c r="B829" s="1"/>
      <c r="C829" s="27"/>
      <c r="D829" s="6"/>
      <c r="E829" s="7"/>
      <c r="F829" s="7"/>
      <c r="G829" s="31"/>
      <c r="H829" s="43"/>
    </row>
    <row r="830" spans="1:8" s="11" customFormat="1" ht="15" hidden="1" customHeight="1" outlineLevel="3" x14ac:dyDescent="0.2">
      <c r="A830" s="2"/>
      <c r="B830" s="1"/>
      <c r="C830" s="27"/>
      <c r="D830" s="6"/>
      <c r="E830" s="7"/>
      <c r="F830" s="7"/>
      <c r="G830" s="31"/>
      <c r="H830" s="43"/>
    </row>
    <row r="831" spans="1:8" s="11" customFormat="1" ht="15" hidden="1" customHeight="1" outlineLevel="3" x14ac:dyDescent="0.2">
      <c r="A831" s="2"/>
      <c r="B831" s="1"/>
      <c r="C831" s="27"/>
      <c r="D831" s="6"/>
      <c r="E831" s="7"/>
      <c r="F831" s="7"/>
      <c r="G831" s="31"/>
      <c r="H831" s="43"/>
    </row>
    <row r="832" spans="1:8" s="11" customFormat="1" ht="15" hidden="1" customHeight="1" outlineLevel="3" x14ac:dyDescent="0.2">
      <c r="A832" s="2"/>
      <c r="B832" s="1"/>
      <c r="C832" s="27"/>
      <c r="D832" s="6"/>
      <c r="E832" s="7"/>
      <c r="F832" s="7"/>
      <c r="G832" s="31"/>
      <c r="H832" s="43"/>
    </row>
    <row r="833" spans="1:8" s="11" customFormat="1" ht="15" hidden="1" customHeight="1" outlineLevel="1" collapsed="1" x14ac:dyDescent="0.2">
      <c r="A833" s="2">
        <f>A807+0.1</f>
        <v>4.2999999999999989</v>
      </c>
      <c r="B833" s="1"/>
      <c r="C833" s="28"/>
      <c r="D833" s="5"/>
      <c r="E833" s="9"/>
      <c r="F833" s="10"/>
      <c r="G833" s="37"/>
      <c r="H833" s="36"/>
    </row>
    <row r="834" spans="1:8" s="11" customFormat="1" ht="15" hidden="1" customHeight="1" outlineLevel="2" collapsed="1" x14ac:dyDescent="0.2">
      <c r="A834" s="106">
        <f>A833+0.01</f>
        <v>4.3099999999999987</v>
      </c>
      <c r="B834" s="107"/>
      <c r="C834" s="27"/>
      <c r="D834" s="6"/>
      <c r="E834" s="7"/>
      <c r="F834" s="7"/>
      <c r="G834" s="31"/>
      <c r="H834" s="43"/>
    </row>
    <row r="835" spans="1:8" s="11" customFormat="1" ht="15" hidden="1" customHeight="1" outlineLevel="3" x14ac:dyDescent="0.2">
      <c r="A835" s="2"/>
      <c r="B835" s="1"/>
      <c r="C835" s="27"/>
      <c r="D835" s="6"/>
      <c r="E835" s="7"/>
      <c r="F835" s="7"/>
      <c r="G835" s="31"/>
      <c r="H835" s="43"/>
    </row>
    <row r="836" spans="1:8" s="11" customFormat="1" ht="15" hidden="1" customHeight="1" outlineLevel="3" x14ac:dyDescent="0.2">
      <c r="A836" s="2"/>
      <c r="B836" s="1"/>
      <c r="C836" s="27"/>
      <c r="D836" s="6"/>
      <c r="E836" s="7"/>
      <c r="F836" s="7"/>
      <c r="G836" s="31"/>
      <c r="H836" s="43"/>
    </row>
    <row r="837" spans="1:8" s="11" customFormat="1" ht="15" hidden="1" customHeight="1" outlineLevel="3" x14ac:dyDescent="0.2">
      <c r="A837" s="2"/>
      <c r="B837" s="1"/>
      <c r="C837" s="27"/>
      <c r="D837" s="6"/>
      <c r="E837" s="7"/>
      <c r="F837" s="7"/>
      <c r="G837" s="31"/>
      <c r="H837" s="43"/>
    </row>
    <row r="838" spans="1:8" s="11" customFormat="1" ht="15" hidden="1" customHeight="1" outlineLevel="3" x14ac:dyDescent="0.2">
      <c r="A838" s="2"/>
      <c r="B838" s="1"/>
      <c r="C838" s="27"/>
      <c r="D838" s="6"/>
      <c r="E838" s="7"/>
      <c r="F838" s="7"/>
      <c r="G838" s="31"/>
      <c r="H838" s="43"/>
    </row>
    <row r="839" spans="1:8" s="11" customFormat="1" ht="15" hidden="1" customHeight="1" outlineLevel="2" collapsed="1" x14ac:dyDescent="0.2">
      <c r="A839" s="106">
        <f>A834+0.01</f>
        <v>4.3199999999999985</v>
      </c>
      <c r="B839" s="107"/>
      <c r="C839" s="27"/>
      <c r="D839" s="6"/>
      <c r="E839" s="7"/>
      <c r="F839" s="7"/>
      <c r="G839" s="31"/>
      <c r="H839" s="43"/>
    </row>
    <row r="840" spans="1:8" s="11" customFormat="1" ht="15" hidden="1" customHeight="1" outlineLevel="3" x14ac:dyDescent="0.2">
      <c r="A840" s="2"/>
      <c r="B840" s="1"/>
      <c r="C840" s="27"/>
      <c r="D840" s="6"/>
      <c r="E840" s="7"/>
      <c r="F840" s="7"/>
      <c r="G840" s="31"/>
      <c r="H840" s="43"/>
    </row>
    <row r="841" spans="1:8" s="11" customFormat="1" ht="15" hidden="1" customHeight="1" outlineLevel="3" x14ac:dyDescent="0.2">
      <c r="A841" s="2"/>
      <c r="B841" s="1"/>
      <c r="C841" s="27"/>
      <c r="D841" s="6"/>
      <c r="E841" s="7"/>
      <c r="F841" s="7"/>
      <c r="G841" s="31"/>
      <c r="H841" s="43"/>
    </row>
    <row r="842" spans="1:8" s="11" customFormat="1" ht="15" hidden="1" customHeight="1" outlineLevel="3" x14ac:dyDescent="0.2">
      <c r="A842" s="2"/>
      <c r="B842" s="1"/>
      <c r="C842" s="27"/>
      <c r="D842" s="6"/>
      <c r="E842" s="7"/>
      <c r="F842" s="7"/>
      <c r="G842" s="31"/>
      <c r="H842" s="43"/>
    </row>
    <row r="843" spans="1:8" s="11" customFormat="1" ht="15" hidden="1" customHeight="1" outlineLevel="3" x14ac:dyDescent="0.2">
      <c r="A843" s="2"/>
      <c r="B843" s="1"/>
      <c r="C843" s="27"/>
      <c r="D843" s="6"/>
      <c r="E843" s="7"/>
      <c r="F843" s="7"/>
      <c r="G843" s="31"/>
      <c r="H843" s="43"/>
    </row>
    <row r="844" spans="1:8" s="11" customFormat="1" ht="15" hidden="1" customHeight="1" outlineLevel="2" collapsed="1" x14ac:dyDescent="0.2">
      <c r="A844" s="106">
        <f>A839+0.01</f>
        <v>4.3299999999999983</v>
      </c>
      <c r="B844" s="107"/>
      <c r="C844" s="27"/>
      <c r="D844" s="6"/>
      <c r="E844" s="7"/>
      <c r="F844" s="7"/>
      <c r="G844" s="31"/>
      <c r="H844" s="43"/>
    </row>
    <row r="845" spans="1:8" s="11" customFormat="1" ht="15" hidden="1" customHeight="1" outlineLevel="3" x14ac:dyDescent="0.2">
      <c r="A845" s="2"/>
      <c r="B845" s="1"/>
      <c r="C845" s="27"/>
      <c r="D845" s="6"/>
      <c r="E845" s="7"/>
      <c r="F845" s="7"/>
      <c r="G845" s="31"/>
      <c r="H845" s="43"/>
    </row>
    <row r="846" spans="1:8" s="11" customFormat="1" ht="15" hidden="1" customHeight="1" outlineLevel="3" x14ac:dyDescent="0.2">
      <c r="A846" s="2"/>
      <c r="B846" s="1"/>
      <c r="C846" s="27"/>
      <c r="D846" s="6"/>
      <c r="E846" s="7"/>
      <c r="F846" s="7"/>
      <c r="G846" s="31"/>
      <c r="H846" s="43"/>
    </row>
    <row r="847" spans="1:8" s="11" customFormat="1" ht="15" hidden="1" customHeight="1" outlineLevel="3" x14ac:dyDescent="0.2">
      <c r="A847" s="2"/>
      <c r="B847" s="1"/>
      <c r="C847" s="27"/>
      <c r="D847" s="6"/>
      <c r="E847" s="7"/>
      <c r="F847" s="7"/>
      <c r="G847" s="31"/>
      <c r="H847" s="43"/>
    </row>
    <row r="848" spans="1:8" s="11" customFormat="1" ht="15" hidden="1" customHeight="1" outlineLevel="3" x14ac:dyDescent="0.2">
      <c r="A848" s="2"/>
      <c r="B848" s="1"/>
      <c r="C848" s="27"/>
      <c r="D848" s="6"/>
      <c r="E848" s="7"/>
      <c r="F848" s="7"/>
      <c r="G848" s="31"/>
      <c r="H848" s="43"/>
    </row>
    <row r="849" spans="1:8" s="11" customFormat="1" ht="15" hidden="1" customHeight="1" outlineLevel="2" collapsed="1" x14ac:dyDescent="0.2">
      <c r="A849" s="2">
        <f>A844+0.01</f>
        <v>4.3399999999999981</v>
      </c>
      <c r="B849" s="1"/>
      <c r="C849" s="27"/>
      <c r="D849" s="6"/>
      <c r="E849" s="7"/>
      <c r="F849" s="7"/>
      <c r="G849" s="31"/>
      <c r="H849" s="43"/>
    </row>
    <row r="850" spans="1:8" s="11" customFormat="1" ht="15" hidden="1" customHeight="1" outlineLevel="3" x14ac:dyDescent="0.2">
      <c r="A850" s="2"/>
      <c r="B850" s="1"/>
      <c r="C850" s="27"/>
      <c r="D850" s="6"/>
      <c r="E850" s="7"/>
      <c r="F850" s="7"/>
      <c r="G850" s="31"/>
      <c r="H850" s="43"/>
    </row>
    <row r="851" spans="1:8" s="11" customFormat="1" ht="15" hidden="1" customHeight="1" outlineLevel="3" x14ac:dyDescent="0.2">
      <c r="A851" s="2"/>
      <c r="B851" s="1"/>
      <c r="C851" s="27"/>
      <c r="D851" s="6"/>
      <c r="E851" s="7"/>
      <c r="F851" s="7"/>
      <c r="G851" s="31"/>
      <c r="H851" s="43"/>
    </row>
    <row r="852" spans="1:8" s="11" customFormat="1" ht="15" hidden="1" customHeight="1" outlineLevel="3" x14ac:dyDescent="0.2">
      <c r="A852" s="2"/>
      <c r="B852" s="1"/>
      <c r="C852" s="27"/>
      <c r="D852" s="6"/>
      <c r="E852" s="7"/>
      <c r="F852" s="7"/>
      <c r="G852" s="31"/>
      <c r="H852" s="43"/>
    </row>
    <row r="853" spans="1:8" s="11" customFormat="1" ht="15" hidden="1" customHeight="1" outlineLevel="3" x14ac:dyDescent="0.2">
      <c r="A853" s="2"/>
      <c r="B853" s="1"/>
      <c r="C853" s="27"/>
      <c r="D853" s="6"/>
      <c r="E853" s="7"/>
      <c r="F853" s="7"/>
      <c r="G853" s="31"/>
      <c r="H853" s="43"/>
    </row>
    <row r="854" spans="1:8" s="11" customFormat="1" ht="15" hidden="1" customHeight="1" outlineLevel="2" collapsed="1" x14ac:dyDescent="0.2">
      <c r="A854" s="106">
        <f>A849+0.01</f>
        <v>4.3499999999999979</v>
      </c>
      <c r="B854" s="107"/>
      <c r="C854" s="27"/>
      <c r="D854" s="6"/>
      <c r="E854" s="7"/>
      <c r="F854" s="30"/>
      <c r="G854" s="31"/>
      <c r="H854" s="43"/>
    </row>
    <row r="855" spans="1:8" s="11" customFormat="1" ht="15" hidden="1" customHeight="1" outlineLevel="3" x14ac:dyDescent="0.2">
      <c r="A855" s="2"/>
      <c r="B855" s="1"/>
      <c r="C855" s="27"/>
      <c r="D855" s="6"/>
      <c r="E855" s="7"/>
      <c r="F855" s="7"/>
      <c r="G855" s="31"/>
      <c r="H855" s="43"/>
    </row>
    <row r="856" spans="1:8" s="11" customFormat="1" ht="15" hidden="1" customHeight="1" outlineLevel="3" x14ac:dyDescent="0.2">
      <c r="A856" s="2"/>
      <c r="B856" s="1"/>
      <c r="C856" s="27"/>
      <c r="D856" s="6"/>
      <c r="E856" s="7"/>
      <c r="F856" s="7"/>
      <c r="G856" s="31"/>
      <c r="H856" s="43"/>
    </row>
    <row r="857" spans="1:8" s="11" customFormat="1" ht="15" hidden="1" customHeight="1" outlineLevel="3" x14ac:dyDescent="0.2">
      <c r="A857" s="2"/>
      <c r="B857" s="1"/>
      <c r="C857" s="27"/>
      <c r="D857" s="6"/>
      <c r="E857" s="7"/>
      <c r="F857" s="7"/>
      <c r="G857" s="31"/>
      <c r="H857" s="43"/>
    </row>
    <row r="858" spans="1:8" s="11" customFormat="1" ht="15" hidden="1" customHeight="1" outlineLevel="3" x14ac:dyDescent="0.2">
      <c r="A858" s="2"/>
      <c r="B858" s="1"/>
      <c r="C858" s="27"/>
      <c r="D858" s="6"/>
      <c r="E858" s="7"/>
      <c r="F858" s="7"/>
      <c r="G858" s="31"/>
      <c r="H858" s="43"/>
    </row>
    <row r="859" spans="1:8" s="11" customFormat="1" ht="15" hidden="1" customHeight="1" outlineLevel="1" collapsed="1" x14ac:dyDescent="0.2">
      <c r="A859" s="2">
        <f>A833+0.1</f>
        <v>4.3999999999999986</v>
      </c>
      <c r="B859" s="1"/>
      <c r="C859" s="28"/>
      <c r="D859" s="5"/>
      <c r="E859" s="9"/>
      <c r="F859" s="10"/>
      <c r="G859" s="37"/>
      <c r="H859" s="36"/>
    </row>
    <row r="860" spans="1:8" s="11" customFormat="1" ht="15" hidden="1" customHeight="1" outlineLevel="2" collapsed="1" x14ac:dyDescent="0.2">
      <c r="A860" s="106">
        <f>A859+0.01</f>
        <v>4.4099999999999984</v>
      </c>
      <c r="B860" s="107"/>
      <c r="C860" s="27"/>
      <c r="D860" s="6"/>
      <c r="E860" s="7"/>
      <c r="F860" s="7"/>
      <c r="G860" s="31"/>
      <c r="H860" s="43"/>
    </row>
    <row r="861" spans="1:8" s="11" customFormat="1" ht="15" hidden="1" customHeight="1" outlineLevel="3" x14ac:dyDescent="0.2">
      <c r="A861" s="2"/>
      <c r="B861" s="1"/>
      <c r="C861" s="27"/>
      <c r="D861" s="6"/>
      <c r="E861" s="7"/>
      <c r="F861" s="7"/>
      <c r="G861" s="31"/>
      <c r="H861" s="43"/>
    </row>
    <row r="862" spans="1:8" s="11" customFormat="1" ht="15" hidden="1" customHeight="1" outlineLevel="3" x14ac:dyDescent="0.2">
      <c r="A862" s="2"/>
      <c r="B862" s="1"/>
      <c r="C862" s="27"/>
      <c r="D862" s="6"/>
      <c r="E862" s="7"/>
      <c r="F862" s="7"/>
      <c r="G862" s="31"/>
      <c r="H862" s="43"/>
    </row>
    <row r="863" spans="1:8" s="11" customFormat="1" ht="15" hidden="1" customHeight="1" outlineLevel="3" x14ac:dyDescent="0.2">
      <c r="A863" s="2"/>
      <c r="B863" s="1"/>
      <c r="C863" s="27"/>
      <c r="D863" s="6"/>
      <c r="E863" s="7"/>
      <c r="F863" s="7"/>
      <c r="G863" s="31"/>
      <c r="H863" s="43"/>
    </row>
    <row r="864" spans="1:8" s="11" customFormat="1" ht="15" hidden="1" customHeight="1" outlineLevel="3" x14ac:dyDescent="0.2">
      <c r="A864" s="2"/>
      <c r="B864" s="1"/>
      <c r="C864" s="27"/>
      <c r="D864" s="6"/>
      <c r="E864" s="7"/>
      <c r="F864" s="7"/>
      <c r="G864" s="31"/>
      <c r="H864" s="43"/>
    </row>
    <row r="865" spans="1:8" s="11" customFormat="1" ht="15" hidden="1" customHeight="1" outlineLevel="2" collapsed="1" x14ac:dyDescent="0.2">
      <c r="A865" s="106">
        <f>A860+0.01</f>
        <v>4.4199999999999982</v>
      </c>
      <c r="B865" s="107"/>
      <c r="C865" s="27"/>
      <c r="D865" s="6"/>
      <c r="E865" s="7"/>
      <c r="F865" s="7"/>
      <c r="G865" s="31"/>
      <c r="H865" s="43"/>
    </row>
    <row r="866" spans="1:8" s="11" customFormat="1" ht="15" hidden="1" customHeight="1" outlineLevel="3" x14ac:dyDescent="0.2">
      <c r="A866" s="2"/>
      <c r="B866" s="1"/>
      <c r="C866" s="27"/>
      <c r="D866" s="6"/>
      <c r="E866" s="7"/>
      <c r="F866" s="7"/>
      <c r="G866" s="31"/>
      <c r="H866" s="43"/>
    </row>
    <row r="867" spans="1:8" s="11" customFormat="1" ht="15" hidden="1" customHeight="1" outlineLevel="3" x14ac:dyDescent="0.2">
      <c r="A867" s="2"/>
      <c r="B867" s="1"/>
      <c r="C867" s="27"/>
      <c r="D867" s="6"/>
      <c r="E867" s="7"/>
      <c r="F867" s="7"/>
      <c r="G867" s="31"/>
      <c r="H867" s="43"/>
    </row>
    <row r="868" spans="1:8" s="11" customFormat="1" ht="15" hidden="1" customHeight="1" outlineLevel="3" x14ac:dyDescent="0.2">
      <c r="A868" s="2"/>
      <c r="B868" s="1"/>
      <c r="C868" s="27"/>
      <c r="D868" s="6"/>
      <c r="E868" s="7"/>
      <c r="F868" s="7"/>
      <c r="G868" s="31"/>
      <c r="H868" s="43"/>
    </row>
    <row r="869" spans="1:8" s="11" customFormat="1" ht="15" hidden="1" customHeight="1" outlineLevel="3" x14ac:dyDescent="0.2">
      <c r="A869" s="2"/>
      <c r="B869" s="1"/>
      <c r="C869" s="27"/>
      <c r="D869" s="6"/>
      <c r="E869" s="7"/>
      <c r="F869" s="7"/>
      <c r="G869" s="31"/>
      <c r="H869" s="43"/>
    </row>
    <row r="870" spans="1:8" s="11" customFormat="1" ht="15" hidden="1" customHeight="1" outlineLevel="2" collapsed="1" x14ac:dyDescent="0.2">
      <c r="A870" s="106">
        <f>A865+0.01</f>
        <v>4.4299999999999979</v>
      </c>
      <c r="B870" s="107"/>
      <c r="C870" s="27"/>
      <c r="D870" s="6"/>
      <c r="E870" s="7"/>
      <c r="F870" s="7"/>
      <c r="G870" s="31"/>
      <c r="H870" s="43"/>
    </row>
    <row r="871" spans="1:8" s="11" customFormat="1" ht="15" hidden="1" customHeight="1" outlineLevel="3" x14ac:dyDescent="0.2">
      <c r="A871" s="2"/>
      <c r="B871" s="1"/>
      <c r="C871" s="27"/>
      <c r="D871" s="6"/>
      <c r="E871" s="7"/>
      <c r="F871" s="7"/>
      <c r="G871" s="31"/>
      <c r="H871" s="43"/>
    </row>
    <row r="872" spans="1:8" s="11" customFormat="1" ht="15" hidden="1" customHeight="1" outlineLevel="3" x14ac:dyDescent="0.2">
      <c r="A872" s="2"/>
      <c r="B872" s="1"/>
      <c r="C872" s="27"/>
      <c r="D872" s="6"/>
      <c r="E872" s="7"/>
      <c r="F872" s="7"/>
      <c r="G872" s="31"/>
      <c r="H872" s="43"/>
    </row>
    <row r="873" spans="1:8" s="11" customFormat="1" ht="15" hidden="1" customHeight="1" outlineLevel="3" x14ac:dyDescent="0.2">
      <c r="A873" s="2"/>
      <c r="B873" s="1"/>
      <c r="C873" s="27"/>
      <c r="D873" s="6"/>
      <c r="E873" s="7"/>
      <c r="F873" s="7"/>
      <c r="G873" s="31"/>
      <c r="H873" s="43"/>
    </row>
    <row r="874" spans="1:8" s="11" customFormat="1" ht="15" hidden="1" customHeight="1" outlineLevel="3" x14ac:dyDescent="0.2">
      <c r="A874" s="2"/>
      <c r="B874" s="1"/>
      <c r="C874" s="27"/>
      <c r="D874" s="6"/>
      <c r="E874" s="7"/>
      <c r="F874" s="7"/>
      <c r="G874" s="31"/>
      <c r="H874" s="43"/>
    </row>
    <row r="875" spans="1:8" s="11" customFormat="1" ht="15" hidden="1" customHeight="1" outlineLevel="2" collapsed="1" x14ac:dyDescent="0.2">
      <c r="A875" s="2">
        <f>A870+0.01</f>
        <v>4.4399999999999977</v>
      </c>
      <c r="B875" s="1"/>
      <c r="C875" s="27"/>
      <c r="D875" s="6"/>
      <c r="E875" s="7"/>
      <c r="F875" s="7"/>
      <c r="G875" s="31"/>
      <c r="H875" s="43"/>
    </row>
    <row r="876" spans="1:8" s="11" customFormat="1" ht="15" hidden="1" customHeight="1" outlineLevel="3" x14ac:dyDescent="0.2">
      <c r="A876" s="2"/>
      <c r="B876" s="1"/>
      <c r="C876" s="27"/>
      <c r="D876" s="6"/>
      <c r="E876" s="7"/>
      <c r="F876" s="7"/>
      <c r="G876" s="31"/>
      <c r="H876" s="43"/>
    </row>
    <row r="877" spans="1:8" s="11" customFormat="1" ht="15" hidden="1" customHeight="1" outlineLevel="3" x14ac:dyDescent="0.2">
      <c r="A877" s="2"/>
      <c r="B877" s="1"/>
      <c r="C877" s="27"/>
      <c r="D877" s="6"/>
      <c r="E877" s="7"/>
      <c r="F877" s="7"/>
      <c r="G877" s="31"/>
      <c r="H877" s="43"/>
    </row>
    <row r="878" spans="1:8" s="11" customFormat="1" ht="15" hidden="1" customHeight="1" outlineLevel="3" x14ac:dyDescent="0.2">
      <c r="A878" s="2"/>
      <c r="B878" s="1"/>
      <c r="C878" s="27"/>
      <c r="D878" s="6"/>
      <c r="E878" s="7"/>
      <c r="F878" s="7"/>
      <c r="G878" s="31"/>
      <c r="H878" s="43"/>
    </row>
    <row r="879" spans="1:8" s="11" customFormat="1" ht="15" hidden="1" customHeight="1" outlineLevel="3" x14ac:dyDescent="0.2">
      <c r="A879" s="2"/>
      <c r="B879" s="1"/>
      <c r="C879" s="27"/>
      <c r="D879" s="6"/>
      <c r="E879" s="7"/>
      <c r="F879" s="7"/>
      <c r="G879" s="31"/>
      <c r="H879" s="43"/>
    </row>
    <row r="880" spans="1:8" s="11" customFormat="1" ht="15" hidden="1" customHeight="1" outlineLevel="2" collapsed="1" x14ac:dyDescent="0.2">
      <c r="A880" s="106">
        <f>A875+0.01</f>
        <v>4.4499999999999975</v>
      </c>
      <c r="B880" s="107"/>
      <c r="C880" s="27"/>
      <c r="D880" s="6"/>
      <c r="E880" s="7"/>
      <c r="F880" s="30"/>
      <c r="G880" s="31"/>
      <c r="H880" s="43"/>
    </row>
    <row r="881" spans="1:8" s="11" customFormat="1" ht="15" hidden="1" customHeight="1" outlineLevel="3" x14ac:dyDescent="0.2">
      <c r="A881" s="2"/>
      <c r="B881" s="1"/>
      <c r="C881" s="27"/>
      <c r="D881" s="6"/>
      <c r="E881" s="7"/>
      <c r="F881" s="7"/>
      <c r="G881" s="31"/>
      <c r="H881" s="43"/>
    </row>
    <row r="882" spans="1:8" s="11" customFormat="1" ht="15" hidden="1" customHeight="1" outlineLevel="3" x14ac:dyDescent="0.2">
      <c r="A882" s="2"/>
      <c r="B882" s="1"/>
      <c r="C882" s="27"/>
      <c r="D882" s="6"/>
      <c r="E882" s="7"/>
      <c r="F882" s="7"/>
      <c r="G882" s="31"/>
      <c r="H882" s="43"/>
    </row>
    <row r="883" spans="1:8" s="11" customFormat="1" ht="15" hidden="1" customHeight="1" outlineLevel="3" x14ac:dyDescent="0.2">
      <c r="A883" s="2"/>
      <c r="B883" s="1"/>
      <c r="C883" s="27"/>
      <c r="D883" s="6"/>
      <c r="E883" s="7"/>
      <c r="F883" s="7"/>
      <c r="G883" s="31"/>
      <c r="H883" s="43"/>
    </row>
    <row r="884" spans="1:8" s="11" customFormat="1" ht="15" hidden="1" customHeight="1" outlineLevel="3" x14ac:dyDescent="0.2">
      <c r="A884" s="2"/>
      <c r="B884" s="1"/>
      <c r="C884" s="27"/>
      <c r="D884" s="6"/>
      <c r="E884" s="7"/>
      <c r="F884" s="7"/>
      <c r="G884" s="31"/>
      <c r="H884" s="43"/>
    </row>
    <row r="885" spans="1:8" s="11" customFormat="1" ht="15" hidden="1" customHeight="1" outlineLevel="1" collapsed="1" x14ac:dyDescent="0.2">
      <c r="A885" s="2">
        <f>A859+0.1</f>
        <v>4.4999999999999982</v>
      </c>
      <c r="B885" s="1"/>
      <c r="C885" s="28"/>
      <c r="D885" s="5"/>
      <c r="E885" s="9"/>
      <c r="F885" s="10"/>
      <c r="G885" s="37"/>
      <c r="H885" s="36"/>
    </row>
    <row r="886" spans="1:8" s="11" customFormat="1" ht="15" hidden="1" customHeight="1" outlineLevel="2" collapsed="1" x14ac:dyDescent="0.2">
      <c r="A886" s="106">
        <f>A885+0.01</f>
        <v>4.509999999999998</v>
      </c>
      <c r="B886" s="107"/>
      <c r="C886" s="27"/>
      <c r="D886" s="6"/>
      <c r="E886" s="7"/>
      <c r="F886" s="7"/>
      <c r="G886" s="31"/>
      <c r="H886" s="43"/>
    </row>
    <row r="887" spans="1:8" s="11" customFormat="1" ht="15" hidden="1" customHeight="1" outlineLevel="3" x14ac:dyDescent="0.2">
      <c r="A887" s="2"/>
      <c r="B887" s="1"/>
      <c r="C887" s="27"/>
      <c r="D887" s="6"/>
      <c r="E887" s="7"/>
      <c r="F887" s="7"/>
      <c r="G887" s="31"/>
      <c r="H887" s="43"/>
    </row>
    <row r="888" spans="1:8" s="11" customFormat="1" ht="15" hidden="1" customHeight="1" outlineLevel="3" x14ac:dyDescent="0.2">
      <c r="A888" s="2"/>
      <c r="B888" s="1"/>
      <c r="C888" s="27"/>
      <c r="D888" s="6"/>
      <c r="E888" s="7"/>
      <c r="F888" s="7"/>
      <c r="G888" s="31"/>
      <c r="H888" s="43"/>
    </row>
    <row r="889" spans="1:8" s="11" customFormat="1" ht="15" hidden="1" customHeight="1" outlineLevel="3" x14ac:dyDescent="0.2">
      <c r="A889" s="2"/>
      <c r="B889" s="1"/>
      <c r="C889" s="27"/>
      <c r="D889" s="6"/>
      <c r="E889" s="7"/>
      <c r="F889" s="7"/>
      <c r="G889" s="31"/>
      <c r="H889" s="43"/>
    </row>
    <row r="890" spans="1:8" s="11" customFormat="1" ht="15" hidden="1" customHeight="1" outlineLevel="3" x14ac:dyDescent="0.2">
      <c r="A890" s="2"/>
      <c r="B890" s="1"/>
      <c r="C890" s="27"/>
      <c r="D890" s="6"/>
      <c r="E890" s="7"/>
      <c r="F890" s="7"/>
      <c r="G890" s="31"/>
      <c r="H890" s="43"/>
    </row>
    <row r="891" spans="1:8" s="11" customFormat="1" ht="15" hidden="1" customHeight="1" outlineLevel="2" collapsed="1" x14ac:dyDescent="0.2">
      <c r="A891" s="106">
        <f>A886+0.01</f>
        <v>4.5199999999999978</v>
      </c>
      <c r="B891" s="107"/>
      <c r="C891" s="27"/>
      <c r="D891" s="6"/>
      <c r="E891" s="7"/>
      <c r="F891" s="7"/>
      <c r="G891" s="31"/>
      <c r="H891" s="43"/>
    </row>
    <row r="892" spans="1:8" s="11" customFormat="1" ht="15" hidden="1" customHeight="1" outlineLevel="3" x14ac:dyDescent="0.2">
      <c r="A892" s="2"/>
      <c r="B892" s="1"/>
      <c r="C892" s="27"/>
      <c r="D892" s="6"/>
      <c r="E892" s="7"/>
      <c r="F892" s="7"/>
      <c r="G892" s="31"/>
      <c r="H892" s="43"/>
    </row>
    <row r="893" spans="1:8" s="11" customFormat="1" ht="15" hidden="1" customHeight="1" outlineLevel="3" x14ac:dyDescent="0.2">
      <c r="A893" s="2"/>
      <c r="B893" s="1"/>
      <c r="C893" s="27"/>
      <c r="D893" s="6"/>
      <c r="E893" s="7"/>
      <c r="F893" s="7"/>
      <c r="G893" s="31"/>
      <c r="H893" s="43"/>
    </row>
    <row r="894" spans="1:8" s="11" customFormat="1" ht="15" hidden="1" customHeight="1" outlineLevel="3" x14ac:dyDescent="0.2">
      <c r="A894" s="2"/>
      <c r="B894" s="1"/>
      <c r="C894" s="27"/>
      <c r="D894" s="6"/>
      <c r="E894" s="7"/>
      <c r="F894" s="7"/>
      <c r="G894" s="31"/>
      <c r="H894" s="43"/>
    </row>
    <row r="895" spans="1:8" s="11" customFormat="1" ht="15" hidden="1" customHeight="1" outlineLevel="3" x14ac:dyDescent="0.2">
      <c r="A895" s="2"/>
      <c r="B895" s="1"/>
      <c r="C895" s="27"/>
      <c r="D895" s="6"/>
      <c r="E895" s="7"/>
      <c r="F895" s="7"/>
      <c r="G895" s="31"/>
      <c r="H895" s="43"/>
    </row>
    <row r="896" spans="1:8" s="11" customFormat="1" ht="15" hidden="1" customHeight="1" outlineLevel="2" collapsed="1" x14ac:dyDescent="0.2">
      <c r="A896" s="106">
        <f>A891+0.01</f>
        <v>4.5299999999999976</v>
      </c>
      <c r="B896" s="107"/>
      <c r="C896" s="27"/>
      <c r="D896" s="6"/>
      <c r="E896" s="7"/>
      <c r="F896" s="7"/>
      <c r="G896" s="31"/>
      <c r="H896" s="43"/>
    </row>
    <row r="897" spans="1:8" s="11" customFormat="1" ht="15" hidden="1" customHeight="1" outlineLevel="3" x14ac:dyDescent="0.2">
      <c r="A897" s="2"/>
      <c r="B897" s="1"/>
      <c r="C897" s="27"/>
      <c r="D897" s="6"/>
      <c r="E897" s="7"/>
      <c r="F897" s="7"/>
      <c r="G897" s="31"/>
      <c r="H897" s="43"/>
    </row>
    <row r="898" spans="1:8" s="11" customFormat="1" ht="15" hidden="1" customHeight="1" outlineLevel="3" x14ac:dyDescent="0.2">
      <c r="A898" s="2"/>
      <c r="B898" s="1"/>
      <c r="C898" s="27"/>
      <c r="D898" s="6"/>
      <c r="E898" s="7"/>
      <c r="F898" s="7"/>
      <c r="G898" s="31"/>
      <c r="H898" s="43"/>
    </row>
    <row r="899" spans="1:8" s="11" customFormat="1" ht="15" hidden="1" customHeight="1" outlineLevel="3" x14ac:dyDescent="0.2">
      <c r="A899" s="2"/>
      <c r="B899" s="1"/>
      <c r="C899" s="27"/>
      <c r="D899" s="6"/>
      <c r="E899" s="7"/>
      <c r="F899" s="7"/>
      <c r="G899" s="31"/>
      <c r="H899" s="43"/>
    </row>
    <row r="900" spans="1:8" s="11" customFormat="1" ht="15" hidden="1" customHeight="1" outlineLevel="3" x14ac:dyDescent="0.2">
      <c r="A900" s="2"/>
      <c r="B900" s="1"/>
      <c r="C900" s="27"/>
      <c r="D900" s="6"/>
      <c r="E900" s="7"/>
      <c r="F900" s="7"/>
      <c r="G900" s="31"/>
      <c r="H900" s="43"/>
    </row>
    <row r="901" spans="1:8" s="11" customFormat="1" ht="15" hidden="1" customHeight="1" outlineLevel="2" collapsed="1" x14ac:dyDescent="0.2">
      <c r="A901" s="2">
        <f>A896+0.01</f>
        <v>4.5399999999999974</v>
      </c>
      <c r="B901" s="1"/>
      <c r="C901" s="27"/>
      <c r="D901" s="6"/>
      <c r="E901" s="7"/>
      <c r="F901" s="7"/>
      <c r="G901" s="31"/>
      <c r="H901" s="43"/>
    </row>
    <row r="902" spans="1:8" s="11" customFormat="1" ht="15" hidden="1" customHeight="1" outlineLevel="3" x14ac:dyDescent="0.2">
      <c r="A902" s="2"/>
      <c r="B902" s="1"/>
      <c r="C902" s="27"/>
      <c r="D902" s="6"/>
      <c r="E902" s="7"/>
      <c r="F902" s="7"/>
      <c r="G902" s="31"/>
      <c r="H902" s="43"/>
    </row>
    <row r="903" spans="1:8" s="11" customFormat="1" ht="15" hidden="1" customHeight="1" outlineLevel="3" x14ac:dyDescent="0.2">
      <c r="A903" s="2"/>
      <c r="B903" s="1"/>
      <c r="C903" s="27"/>
      <c r="D903" s="6"/>
      <c r="E903" s="7"/>
      <c r="F903" s="7"/>
      <c r="G903" s="31"/>
      <c r="H903" s="43"/>
    </row>
    <row r="904" spans="1:8" s="11" customFormat="1" ht="15" hidden="1" customHeight="1" outlineLevel="3" x14ac:dyDescent="0.2">
      <c r="A904" s="2"/>
      <c r="B904" s="1"/>
      <c r="C904" s="27"/>
      <c r="D904" s="6"/>
      <c r="E904" s="7"/>
      <c r="F904" s="7"/>
      <c r="G904" s="31"/>
      <c r="H904" s="43"/>
    </row>
    <row r="905" spans="1:8" s="11" customFormat="1" ht="15" hidden="1" customHeight="1" outlineLevel="3" x14ac:dyDescent="0.2">
      <c r="A905" s="2"/>
      <c r="B905" s="1"/>
      <c r="C905" s="27"/>
      <c r="D905" s="6"/>
      <c r="E905" s="7"/>
      <c r="F905" s="7"/>
      <c r="G905" s="31"/>
      <c r="H905" s="43"/>
    </row>
    <row r="906" spans="1:8" s="11" customFormat="1" ht="15" hidden="1" customHeight="1" outlineLevel="2" collapsed="1" x14ac:dyDescent="0.2">
      <c r="A906" s="106">
        <f>A901+0.01</f>
        <v>4.5499999999999972</v>
      </c>
      <c r="B906" s="107"/>
      <c r="C906" s="27"/>
      <c r="D906" s="6"/>
      <c r="E906" s="7"/>
      <c r="F906" s="30"/>
      <c r="G906" s="31"/>
      <c r="H906" s="43"/>
    </row>
    <row r="907" spans="1:8" s="11" customFormat="1" ht="15" hidden="1" customHeight="1" outlineLevel="3" x14ac:dyDescent="0.2">
      <c r="A907" s="2"/>
      <c r="B907" s="1"/>
      <c r="C907" s="27"/>
      <c r="D907" s="6"/>
      <c r="E907" s="7"/>
      <c r="F907" s="7"/>
      <c r="G907" s="31"/>
      <c r="H907" s="43"/>
    </row>
    <row r="908" spans="1:8" s="11" customFormat="1" ht="15" hidden="1" customHeight="1" outlineLevel="3" x14ac:dyDescent="0.2">
      <c r="A908" s="2"/>
      <c r="B908" s="1"/>
      <c r="C908" s="27"/>
      <c r="D908" s="6"/>
      <c r="E908" s="7"/>
      <c r="F908" s="7"/>
      <c r="G908" s="31"/>
      <c r="H908" s="43"/>
    </row>
    <row r="909" spans="1:8" s="11" customFormat="1" ht="15" hidden="1" customHeight="1" outlineLevel="3" x14ac:dyDescent="0.2">
      <c r="A909" s="2"/>
      <c r="B909" s="1"/>
      <c r="C909" s="27"/>
      <c r="D909" s="6"/>
      <c r="E909" s="7"/>
      <c r="F909" s="7"/>
      <c r="G909" s="31"/>
      <c r="H909" s="43"/>
    </row>
    <row r="910" spans="1:8" s="11" customFormat="1" ht="15" hidden="1" customHeight="1" outlineLevel="3" x14ac:dyDescent="0.2">
      <c r="A910" s="2"/>
      <c r="B910" s="1"/>
      <c r="C910" s="27"/>
      <c r="D910" s="6"/>
      <c r="E910" s="7"/>
      <c r="F910" s="7"/>
      <c r="G910" s="31"/>
      <c r="H910" s="43"/>
    </row>
    <row r="911" spans="1:8" s="11" customFormat="1" ht="15" hidden="1" customHeight="1" outlineLevel="1" collapsed="1" x14ac:dyDescent="0.2">
      <c r="A911" s="2">
        <f>A885+0.1</f>
        <v>4.5999999999999979</v>
      </c>
      <c r="B911" s="1"/>
      <c r="C911" s="28"/>
      <c r="D911" s="5"/>
      <c r="E911" s="9"/>
      <c r="F911" s="10"/>
      <c r="G911" s="37"/>
      <c r="H911" s="36"/>
    </row>
    <row r="912" spans="1:8" s="11" customFormat="1" ht="15" hidden="1" customHeight="1" outlineLevel="2" collapsed="1" x14ac:dyDescent="0.2">
      <c r="A912" s="106">
        <f>A911+0.01</f>
        <v>4.6099999999999977</v>
      </c>
      <c r="B912" s="107"/>
      <c r="C912" s="27"/>
      <c r="D912" s="6"/>
      <c r="E912" s="7"/>
      <c r="F912" s="7"/>
      <c r="G912" s="31"/>
      <c r="H912" s="43"/>
    </row>
    <row r="913" spans="1:8" s="11" customFormat="1" ht="15" hidden="1" customHeight="1" outlineLevel="3" x14ac:dyDescent="0.2">
      <c r="A913" s="2"/>
      <c r="B913" s="1"/>
      <c r="C913" s="27"/>
      <c r="D913" s="6"/>
      <c r="E913" s="7"/>
      <c r="F913" s="7"/>
      <c r="G913" s="31"/>
      <c r="H913" s="43"/>
    </row>
    <row r="914" spans="1:8" s="11" customFormat="1" ht="15" hidden="1" customHeight="1" outlineLevel="3" x14ac:dyDescent="0.2">
      <c r="A914" s="2"/>
      <c r="B914" s="1"/>
      <c r="C914" s="27"/>
      <c r="D914" s="6"/>
      <c r="E914" s="7"/>
      <c r="F914" s="7"/>
      <c r="G914" s="31"/>
      <c r="H914" s="43"/>
    </row>
    <row r="915" spans="1:8" s="11" customFormat="1" ht="15" hidden="1" customHeight="1" outlineLevel="3" x14ac:dyDescent="0.2">
      <c r="A915" s="2"/>
      <c r="B915" s="1"/>
      <c r="C915" s="27"/>
      <c r="D915" s="6"/>
      <c r="E915" s="7"/>
      <c r="F915" s="7"/>
      <c r="G915" s="31"/>
      <c r="H915" s="43"/>
    </row>
    <row r="916" spans="1:8" s="11" customFormat="1" ht="15" hidden="1" customHeight="1" outlineLevel="3" x14ac:dyDescent="0.2">
      <c r="A916" s="2"/>
      <c r="B916" s="1"/>
      <c r="C916" s="27"/>
      <c r="D916" s="6"/>
      <c r="E916" s="7"/>
      <c r="F916" s="7"/>
      <c r="G916" s="31"/>
      <c r="H916" s="43"/>
    </row>
    <row r="917" spans="1:8" s="11" customFormat="1" ht="15" hidden="1" customHeight="1" outlineLevel="2" collapsed="1" x14ac:dyDescent="0.2">
      <c r="A917" s="106">
        <f>A912+0.01</f>
        <v>4.6199999999999974</v>
      </c>
      <c r="B917" s="107"/>
      <c r="C917" s="27"/>
      <c r="D917" s="6"/>
      <c r="E917" s="7"/>
      <c r="F917" s="7"/>
      <c r="G917" s="31"/>
      <c r="H917" s="43"/>
    </row>
    <row r="918" spans="1:8" s="11" customFormat="1" ht="15" hidden="1" customHeight="1" outlineLevel="3" x14ac:dyDescent="0.2">
      <c r="A918" s="2"/>
      <c r="B918" s="1"/>
      <c r="C918" s="27"/>
      <c r="D918" s="6"/>
      <c r="E918" s="7"/>
      <c r="F918" s="7"/>
      <c r="G918" s="31"/>
      <c r="H918" s="43"/>
    </row>
    <row r="919" spans="1:8" s="11" customFormat="1" ht="15" hidden="1" customHeight="1" outlineLevel="3" x14ac:dyDescent="0.2">
      <c r="A919" s="2"/>
      <c r="B919" s="1"/>
      <c r="C919" s="27"/>
      <c r="D919" s="6"/>
      <c r="E919" s="7"/>
      <c r="F919" s="7"/>
      <c r="G919" s="31"/>
      <c r="H919" s="43"/>
    </row>
    <row r="920" spans="1:8" s="11" customFormat="1" ht="15" hidden="1" customHeight="1" outlineLevel="3" x14ac:dyDescent="0.2">
      <c r="A920" s="2"/>
      <c r="B920" s="1"/>
      <c r="C920" s="27"/>
      <c r="D920" s="6"/>
      <c r="E920" s="7"/>
      <c r="F920" s="7"/>
      <c r="G920" s="31"/>
      <c r="H920" s="43"/>
    </row>
    <row r="921" spans="1:8" s="11" customFormat="1" ht="15" hidden="1" customHeight="1" outlineLevel="3" x14ac:dyDescent="0.2">
      <c r="A921" s="2"/>
      <c r="B921" s="1"/>
      <c r="C921" s="27"/>
      <c r="D921" s="6"/>
      <c r="E921" s="7"/>
      <c r="F921" s="7"/>
      <c r="G921" s="31"/>
      <c r="H921" s="43"/>
    </row>
    <row r="922" spans="1:8" s="11" customFormat="1" ht="15" hidden="1" customHeight="1" outlineLevel="2" collapsed="1" x14ac:dyDescent="0.2">
      <c r="A922" s="106">
        <f>A917+0.01</f>
        <v>4.6299999999999972</v>
      </c>
      <c r="B922" s="107"/>
      <c r="C922" s="27"/>
      <c r="D922" s="6"/>
      <c r="E922" s="7"/>
      <c r="F922" s="7"/>
      <c r="G922" s="31"/>
      <c r="H922" s="43"/>
    </row>
    <row r="923" spans="1:8" s="11" customFormat="1" ht="15" hidden="1" customHeight="1" outlineLevel="3" x14ac:dyDescent="0.2">
      <c r="A923" s="2"/>
      <c r="B923" s="1"/>
      <c r="C923" s="27"/>
      <c r="D923" s="6"/>
      <c r="E923" s="7"/>
      <c r="F923" s="7"/>
      <c r="G923" s="31"/>
      <c r="H923" s="43"/>
    </row>
    <row r="924" spans="1:8" s="11" customFormat="1" ht="15" hidden="1" customHeight="1" outlineLevel="3" x14ac:dyDescent="0.2">
      <c r="A924" s="2"/>
      <c r="B924" s="1"/>
      <c r="C924" s="27"/>
      <c r="D924" s="6"/>
      <c r="E924" s="7"/>
      <c r="F924" s="7"/>
      <c r="G924" s="31"/>
      <c r="H924" s="43"/>
    </row>
    <row r="925" spans="1:8" s="11" customFormat="1" ht="15" hidden="1" customHeight="1" outlineLevel="3" x14ac:dyDescent="0.2">
      <c r="A925" s="2"/>
      <c r="B925" s="1"/>
      <c r="C925" s="27"/>
      <c r="D925" s="6"/>
      <c r="E925" s="7"/>
      <c r="F925" s="7"/>
      <c r="G925" s="31"/>
      <c r="H925" s="43"/>
    </row>
    <row r="926" spans="1:8" s="11" customFormat="1" ht="15" hidden="1" customHeight="1" outlineLevel="3" x14ac:dyDescent="0.2">
      <c r="A926" s="2"/>
      <c r="B926" s="1"/>
      <c r="C926" s="27"/>
      <c r="D926" s="6"/>
      <c r="E926" s="7"/>
      <c r="F926" s="7"/>
      <c r="G926" s="31"/>
      <c r="H926" s="43"/>
    </row>
    <row r="927" spans="1:8" s="11" customFormat="1" ht="15" hidden="1" customHeight="1" outlineLevel="2" collapsed="1" x14ac:dyDescent="0.2">
      <c r="A927" s="2">
        <f>A922+0.01</f>
        <v>4.639999999999997</v>
      </c>
      <c r="B927" s="1"/>
      <c r="C927" s="27"/>
      <c r="D927" s="6"/>
      <c r="E927" s="7"/>
      <c r="F927" s="7"/>
      <c r="G927" s="31"/>
      <c r="H927" s="43"/>
    </row>
    <row r="928" spans="1:8" s="11" customFormat="1" ht="15" hidden="1" customHeight="1" outlineLevel="3" x14ac:dyDescent="0.2">
      <c r="A928" s="2"/>
      <c r="B928" s="1"/>
      <c r="C928" s="27"/>
      <c r="D928" s="6"/>
      <c r="E928" s="7"/>
      <c r="F928" s="7"/>
      <c r="G928" s="31"/>
      <c r="H928" s="43"/>
    </row>
    <row r="929" spans="1:8" s="11" customFormat="1" ht="15" hidden="1" customHeight="1" outlineLevel="3" x14ac:dyDescent="0.2">
      <c r="A929" s="2"/>
      <c r="B929" s="1"/>
      <c r="C929" s="27"/>
      <c r="D929" s="6"/>
      <c r="E929" s="7"/>
      <c r="F929" s="7"/>
      <c r="G929" s="31"/>
      <c r="H929" s="43"/>
    </row>
    <row r="930" spans="1:8" s="11" customFormat="1" ht="15" hidden="1" customHeight="1" outlineLevel="3" x14ac:dyDescent="0.2">
      <c r="A930" s="2"/>
      <c r="B930" s="1"/>
      <c r="C930" s="27"/>
      <c r="D930" s="6"/>
      <c r="E930" s="7"/>
      <c r="F930" s="7"/>
      <c r="G930" s="31"/>
      <c r="H930" s="43"/>
    </row>
    <row r="931" spans="1:8" s="11" customFormat="1" ht="15" hidden="1" customHeight="1" outlineLevel="3" x14ac:dyDescent="0.2">
      <c r="A931" s="2"/>
      <c r="B931" s="1"/>
      <c r="C931" s="27"/>
      <c r="D931" s="6"/>
      <c r="E931" s="7"/>
      <c r="F931" s="7"/>
      <c r="G931" s="31"/>
      <c r="H931" s="43"/>
    </row>
    <row r="932" spans="1:8" s="11" customFormat="1" ht="15" hidden="1" customHeight="1" outlineLevel="2" x14ac:dyDescent="0.2">
      <c r="A932" s="106">
        <f>A927+0.01</f>
        <v>4.6499999999999968</v>
      </c>
      <c r="B932" s="107"/>
      <c r="C932" s="27"/>
      <c r="D932" s="6"/>
      <c r="E932" s="7"/>
      <c r="F932" s="30"/>
      <c r="G932" s="31"/>
      <c r="H932" s="43"/>
    </row>
    <row r="933" spans="1:8" s="11" customFormat="1" ht="15" hidden="1" customHeight="1" outlineLevel="3" x14ac:dyDescent="0.2">
      <c r="A933" s="2"/>
      <c r="B933" s="1"/>
      <c r="C933" s="27"/>
      <c r="D933" s="6"/>
      <c r="E933" s="7"/>
      <c r="F933" s="7"/>
      <c r="G933" s="31"/>
      <c r="H933" s="43"/>
    </row>
    <row r="934" spans="1:8" s="11" customFormat="1" ht="15" hidden="1" customHeight="1" outlineLevel="3" x14ac:dyDescent="0.2">
      <c r="A934" s="2"/>
      <c r="B934" s="1"/>
      <c r="C934" s="27"/>
      <c r="D934" s="6"/>
      <c r="E934" s="7"/>
      <c r="F934" s="7"/>
      <c r="G934" s="31"/>
      <c r="H934" s="43"/>
    </row>
    <row r="935" spans="1:8" s="11" customFormat="1" ht="15" hidden="1" customHeight="1" outlineLevel="3" x14ac:dyDescent="0.2">
      <c r="A935" s="2"/>
      <c r="B935" s="1"/>
      <c r="C935" s="27"/>
      <c r="D935" s="6"/>
      <c r="E935" s="7"/>
      <c r="F935" s="7"/>
      <c r="G935" s="31"/>
      <c r="H935" s="43"/>
    </row>
    <row r="936" spans="1:8" s="11" customFormat="1" ht="15" hidden="1" customHeight="1" outlineLevel="3" x14ac:dyDescent="0.2">
      <c r="A936" s="2"/>
      <c r="B936" s="1"/>
      <c r="C936" s="27"/>
      <c r="D936" s="6"/>
      <c r="E936" s="7"/>
      <c r="F936" s="7"/>
      <c r="G936" s="31"/>
      <c r="H936" s="43"/>
    </row>
    <row r="937" spans="1:8" s="11" customFormat="1" ht="15" hidden="1" customHeight="1" outlineLevel="1" collapsed="1" x14ac:dyDescent="0.2">
      <c r="A937" s="2">
        <f>A911+0.1</f>
        <v>4.6999999999999975</v>
      </c>
      <c r="B937" s="1"/>
      <c r="C937" s="28"/>
      <c r="D937" s="5"/>
      <c r="E937" s="9"/>
      <c r="F937" s="10"/>
      <c r="G937" s="37"/>
      <c r="H937" s="36"/>
    </row>
    <row r="938" spans="1:8" s="11" customFormat="1" ht="15" hidden="1" customHeight="1" outlineLevel="2" collapsed="1" x14ac:dyDescent="0.2">
      <c r="A938" s="106">
        <f>A937+0.01</f>
        <v>4.7099999999999973</v>
      </c>
      <c r="B938" s="107"/>
      <c r="C938" s="27"/>
      <c r="D938" s="6"/>
      <c r="E938" s="7"/>
      <c r="F938" s="7"/>
      <c r="G938" s="31"/>
      <c r="H938" s="43"/>
    </row>
    <row r="939" spans="1:8" s="11" customFormat="1" ht="15" hidden="1" customHeight="1" outlineLevel="3" x14ac:dyDescent="0.2">
      <c r="A939" s="2"/>
      <c r="B939" s="1"/>
      <c r="C939" s="27"/>
      <c r="D939" s="6"/>
      <c r="E939" s="7"/>
      <c r="F939" s="7"/>
      <c r="G939" s="31"/>
      <c r="H939" s="43"/>
    </row>
    <row r="940" spans="1:8" s="11" customFormat="1" ht="15" hidden="1" customHeight="1" outlineLevel="3" x14ac:dyDescent="0.2">
      <c r="A940" s="2"/>
      <c r="B940" s="1"/>
      <c r="C940" s="27"/>
      <c r="D940" s="6"/>
      <c r="E940" s="7"/>
      <c r="F940" s="7"/>
      <c r="G940" s="31"/>
      <c r="H940" s="43"/>
    </row>
    <row r="941" spans="1:8" s="11" customFormat="1" ht="15" hidden="1" customHeight="1" outlineLevel="3" x14ac:dyDescent="0.2">
      <c r="A941" s="2"/>
      <c r="B941" s="1"/>
      <c r="C941" s="27"/>
      <c r="D941" s="6"/>
      <c r="E941" s="7"/>
      <c r="F941" s="7"/>
      <c r="G941" s="31"/>
      <c r="H941" s="43"/>
    </row>
    <row r="942" spans="1:8" s="11" customFormat="1" ht="15" hidden="1" customHeight="1" outlineLevel="3" x14ac:dyDescent="0.2">
      <c r="A942" s="2"/>
      <c r="B942" s="1"/>
      <c r="C942" s="27"/>
      <c r="D942" s="6"/>
      <c r="E942" s="7"/>
      <c r="F942" s="7"/>
      <c r="G942" s="31"/>
      <c r="H942" s="43"/>
    </row>
    <row r="943" spans="1:8" s="11" customFormat="1" ht="15" hidden="1" customHeight="1" outlineLevel="2" collapsed="1" x14ac:dyDescent="0.2">
      <c r="A943" s="106">
        <f>A938+0.01</f>
        <v>4.7199999999999971</v>
      </c>
      <c r="B943" s="107"/>
      <c r="C943" s="27"/>
      <c r="D943" s="6"/>
      <c r="E943" s="7"/>
      <c r="F943" s="7"/>
      <c r="G943" s="31"/>
      <c r="H943" s="43"/>
    </row>
    <row r="944" spans="1:8" s="11" customFormat="1" ht="15" hidden="1" customHeight="1" outlineLevel="3" x14ac:dyDescent="0.2">
      <c r="A944" s="2"/>
      <c r="B944" s="1"/>
      <c r="C944" s="27"/>
      <c r="D944" s="6"/>
      <c r="E944" s="7"/>
      <c r="F944" s="7"/>
      <c r="G944" s="31"/>
      <c r="H944" s="43"/>
    </row>
    <row r="945" spans="1:8" s="11" customFormat="1" ht="15" hidden="1" customHeight="1" outlineLevel="3" x14ac:dyDescent="0.2">
      <c r="A945" s="2"/>
      <c r="B945" s="1"/>
      <c r="C945" s="27"/>
      <c r="D945" s="6"/>
      <c r="E945" s="7"/>
      <c r="F945" s="7"/>
      <c r="G945" s="31"/>
      <c r="H945" s="43"/>
    </row>
    <row r="946" spans="1:8" s="11" customFormat="1" ht="15" hidden="1" customHeight="1" outlineLevel="3" x14ac:dyDescent="0.2">
      <c r="A946" s="2"/>
      <c r="B946" s="1"/>
      <c r="C946" s="27"/>
      <c r="D946" s="6"/>
      <c r="E946" s="7"/>
      <c r="F946" s="7"/>
      <c r="G946" s="31"/>
      <c r="H946" s="43"/>
    </row>
    <row r="947" spans="1:8" s="11" customFormat="1" ht="15" hidden="1" customHeight="1" outlineLevel="3" x14ac:dyDescent="0.2">
      <c r="A947" s="2"/>
      <c r="B947" s="1"/>
      <c r="C947" s="27"/>
      <c r="D947" s="6"/>
      <c r="E947" s="7"/>
      <c r="F947" s="7"/>
      <c r="G947" s="31"/>
      <c r="H947" s="43"/>
    </row>
    <row r="948" spans="1:8" s="11" customFormat="1" ht="15" hidden="1" customHeight="1" outlineLevel="2" collapsed="1" x14ac:dyDescent="0.2">
      <c r="A948" s="106">
        <f>A943+0.01</f>
        <v>4.7299999999999969</v>
      </c>
      <c r="B948" s="107"/>
      <c r="C948" s="27"/>
      <c r="D948" s="6"/>
      <c r="E948" s="7"/>
      <c r="F948" s="7"/>
      <c r="G948" s="31"/>
      <c r="H948" s="43"/>
    </row>
    <row r="949" spans="1:8" s="11" customFormat="1" ht="15" hidden="1" customHeight="1" outlineLevel="3" x14ac:dyDescent="0.2">
      <c r="A949" s="2"/>
      <c r="B949" s="1"/>
      <c r="C949" s="27"/>
      <c r="D949" s="6"/>
      <c r="E949" s="7"/>
      <c r="F949" s="7"/>
      <c r="G949" s="31"/>
      <c r="H949" s="43"/>
    </row>
    <row r="950" spans="1:8" s="11" customFormat="1" ht="15" hidden="1" customHeight="1" outlineLevel="3" x14ac:dyDescent="0.2">
      <c r="A950" s="2"/>
      <c r="B950" s="1"/>
      <c r="C950" s="27"/>
      <c r="D950" s="6"/>
      <c r="E950" s="7"/>
      <c r="F950" s="7"/>
      <c r="G950" s="31"/>
      <c r="H950" s="43"/>
    </row>
    <row r="951" spans="1:8" s="11" customFormat="1" ht="15" hidden="1" customHeight="1" outlineLevel="3" x14ac:dyDescent="0.2">
      <c r="A951" s="2"/>
      <c r="B951" s="1"/>
      <c r="C951" s="27"/>
      <c r="D951" s="6"/>
      <c r="E951" s="7"/>
      <c r="F951" s="7"/>
      <c r="G951" s="31"/>
      <c r="H951" s="43"/>
    </row>
    <row r="952" spans="1:8" s="11" customFormat="1" ht="15" hidden="1" customHeight="1" outlineLevel="3" x14ac:dyDescent="0.2">
      <c r="A952" s="2"/>
      <c r="B952" s="1"/>
      <c r="C952" s="27"/>
      <c r="D952" s="6"/>
      <c r="E952" s="7"/>
      <c r="F952" s="7"/>
      <c r="G952" s="31"/>
      <c r="H952" s="43"/>
    </row>
    <row r="953" spans="1:8" s="11" customFormat="1" ht="15" hidden="1" customHeight="1" outlineLevel="2" collapsed="1" x14ac:dyDescent="0.2">
      <c r="A953" s="2">
        <f>A948+0.01</f>
        <v>4.7399999999999967</v>
      </c>
      <c r="B953" s="1"/>
      <c r="C953" s="27"/>
      <c r="D953" s="6"/>
      <c r="E953" s="7"/>
      <c r="F953" s="7"/>
      <c r="G953" s="31"/>
      <c r="H953" s="43"/>
    </row>
    <row r="954" spans="1:8" s="11" customFormat="1" ht="15" hidden="1" customHeight="1" outlineLevel="3" x14ac:dyDescent="0.2">
      <c r="A954" s="2"/>
      <c r="B954" s="1"/>
      <c r="C954" s="27"/>
      <c r="D954" s="6"/>
      <c r="E954" s="7"/>
      <c r="F954" s="7"/>
      <c r="G954" s="31"/>
      <c r="H954" s="43"/>
    </row>
    <row r="955" spans="1:8" s="11" customFormat="1" ht="15" hidden="1" customHeight="1" outlineLevel="3" x14ac:dyDescent="0.2">
      <c r="A955" s="2"/>
      <c r="B955" s="1"/>
      <c r="C955" s="27"/>
      <c r="D955" s="6"/>
      <c r="E955" s="7"/>
      <c r="F955" s="7"/>
      <c r="G955" s="31"/>
      <c r="H955" s="43"/>
    </row>
    <row r="956" spans="1:8" s="11" customFormat="1" ht="15" hidden="1" customHeight="1" outlineLevel="3" x14ac:dyDescent="0.2">
      <c r="A956" s="2"/>
      <c r="B956" s="1"/>
      <c r="C956" s="27"/>
      <c r="D956" s="6"/>
      <c r="E956" s="7"/>
      <c r="F956" s="7"/>
      <c r="G956" s="31"/>
      <c r="H956" s="43"/>
    </row>
    <row r="957" spans="1:8" s="11" customFormat="1" ht="15" hidden="1" customHeight="1" outlineLevel="3" x14ac:dyDescent="0.2">
      <c r="A957" s="2"/>
      <c r="B957" s="1"/>
      <c r="C957" s="27"/>
      <c r="D957" s="6"/>
      <c r="E957" s="7"/>
      <c r="F957" s="7"/>
      <c r="G957" s="31"/>
      <c r="H957" s="43"/>
    </row>
    <row r="958" spans="1:8" s="11" customFormat="1" ht="15" hidden="1" customHeight="1" outlineLevel="2" x14ac:dyDescent="0.2">
      <c r="A958" s="106">
        <f>A953+0.01</f>
        <v>4.7499999999999964</v>
      </c>
      <c r="B958" s="107"/>
      <c r="C958" s="27"/>
      <c r="D958" s="6"/>
      <c r="E958" s="7"/>
      <c r="F958" s="30"/>
      <c r="G958" s="31"/>
      <c r="H958" s="43"/>
    </row>
    <row r="959" spans="1:8" s="11" customFormat="1" ht="15" hidden="1" customHeight="1" outlineLevel="3" x14ac:dyDescent="0.2">
      <c r="A959" s="2"/>
      <c r="B959" s="1"/>
      <c r="C959" s="27"/>
      <c r="D959" s="6"/>
      <c r="E959" s="7"/>
      <c r="F959" s="7"/>
      <c r="G959" s="31"/>
      <c r="H959" s="43"/>
    </row>
    <row r="960" spans="1:8" s="11" customFormat="1" ht="15" hidden="1" customHeight="1" outlineLevel="3" x14ac:dyDescent="0.2">
      <c r="A960" s="2"/>
      <c r="B960" s="1"/>
      <c r="C960" s="27"/>
      <c r="D960" s="6"/>
      <c r="E960" s="7"/>
      <c r="F960" s="7"/>
      <c r="G960" s="31"/>
      <c r="H960" s="43"/>
    </row>
    <row r="961" spans="1:8" s="11" customFormat="1" ht="15" hidden="1" customHeight="1" outlineLevel="3" x14ac:dyDescent="0.2">
      <c r="A961" s="2"/>
      <c r="B961" s="1"/>
      <c r="C961" s="27"/>
      <c r="D961" s="6"/>
      <c r="E961" s="7"/>
      <c r="F961" s="7"/>
      <c r="G961" s="31"/>
      <c r="H961" s="43"/>
    </row>
    <row r="962" spans="1:8" s="11" customFormat="1" ht="15" hidden="1" customHeight="1" outlineLevel="3" x14ac:dyDescent="0.2">
      <c r="A962" s="2"/>
      <c r="B962" s="1"/>
      <c r="C962" s="27"/>
      <c r="D962" s="6"/>
      <c r="E962" s="7"/>
      <c r="F962" s="7"/>
      <c r="G962" s="31"/>
      <c r="H962" s="43"/>
    </row>
    <row r="963" spans="1:8" s="11" customFormat="1" ht="15" hidden="1" customHeight="1" outlineLevel="1" collapsed="1" x14ac:dyDescent="0.2">
      <c r="A963" s="2">
        <f>A937+0.1</f>
        <v>4.7999999999999972</v>
      </c>
      <c r="B963" s="1"/>
      <c r="C963" s="28"/>
      <c r="D963" s="5"/>
      <c r="E963" s="9"/>
      <c r="F963" s="10"/>
      <c r="G963" s="37"/>
      <c r="H963" s="36"/>
    </row>
    <row r="964" spans="1:8" s="11" customFormat="1" ht="15" hidden="1" customHeight="1" outlineLevel="2" collapsed="1" x14ac:dyDescent="0.2">
      <c r="A964" s="106">
        <f>A963+0.01</f>
        <v>4.8099999999999969</v>
      </c>
      <c r="B964" s="107"/>
      <c r="C964" s="27"/>
      <c r="D964" s="6"/>
      <c r="E964" s="7"/>
      <c r="F964" s="7"/>
      <c r="G964" s="31"/>
      <c r="H964" s="43"/>
    </row>
    <row r="965" spans="1:8" s="11" customFormat="1" ht="15" hidden="1" customHeight="1" outlineLevel="3" x14ac:dyDescent="0.2">
      <c r="A965" s="2"/>
      <c r="B965" s="1"/>
      <c r="C965" s="27"/>
      <c r="D965" s="6"/>
      <c r="E965" s="7"/>
      <c r="F965" s="7"/>
      <c r="G965" s="31"/>
      <c r="H965" s="43"/>
    </row>
    <row r="966" spans="1:8" s="11" customFormat="1" ht="15" hidden="1" customHeight="1" outlineLevel="3" x14ac:dyDescent="0.2">
      <c r="A966" s="2"/>
      <c r="B966" s="1"/>
      <c r="C966" s="27"/>
      <c r="D966" s="6"/>
      <c r="E966" s="7"/>
      <c r="F966" s="7"/>
      <c r="G966" s="31"/>
      <c r="H966" s="43"/>
    </row>
    <row r="967" spans="1:8" s="11" customFormat="1" ht="15" hidden="1" customHeight="1" outlineLevel="3" x14ac:dyDescent="0.2">
      <c r="A967" s="2"/>
      <c r="B967" s="1"/>
      <c r="C967" s="27"/>
      <c r="D967" s="6"/>
      <c r="E967" s="7"/>
      <c r="F967" s="7"/>
      <c r="G967" s="31"/>
      <c r="H967" s="43"/>
    </row>
    <row r="968" spans="1:8" s="11" customFormat="1" ht="15" hidden="1" customHeight="1" outlineLevel="3" x14ac:dyDescent="0.2">
      <c r="A968" s="2"/>
      <c r="B968" s="1"/>
      <c r="C968" s="27"/>
      <c r="D968" s="6"/>
      <c r="E968" s="7"/>
      <c r="F968" s="7"/>
      <c r="G968" s="31"/>
      <c r="H968" s="43"/>
    </row>
    <row r="969" spans="1:8" s="11" customFormat="1" ht="15" hidden="1" customHeight="1" outlineLevel="2" collapsed="1" x14ac:dyDescent="0.2">
      <c r="A969" s="106">
        <f>A964+0.01</f>
        <v>4.8199999999999967</v>
      </c>
      <c r="B969" s="107"/>
      <c r="C969" s="27"/>
      <c r="D969" s="6"/>
      <c r="E969" s="7"/>
      <c r="F969" s="7"/>
      <c r="G969" s="31"/>
      <c r="H969" s="43"/>
    </row>
    <row r="970" spans="1:8" s="11" customFormat="1" ht="15" hidden="1" customHeight="1" outlineLevel="3" x14ac:dyDescent="0.2">
      <c r="A970" s="2"/>
      <c r="B970" s="1"/>
      <c r="C970" s="27"/>
      <c r="D970" s="6"/>
      <c r="E970" s="7"/>
      <c r="F970" s="7"/>
      <c r="G970" s="31"/>
      <c r="H970" s="43"/>
    </row>
    <row r="971" spans="1:8" s="11" customFormat="1" ht="15" hidden="1" customHeight="1" outlineLevel="3" x14ac:dyDescent="0.2">
      <c r="A971" s="2"/>
      <c r="B971" s="1"/>
      <c r="C971" s="27"/>
      <c r="D971" s="6"/>
      <c r="E971" s="7"/>
      <c r="F971" s="7"/>
      <c r="G971" s="31"/>
      <c r="H971" s="43"/>
    </row>
    <row r="972" spans="1:8" s="11" customFormat="1" ht="15" hidden="1" customHeight="1" outlineLevel="3" x14ac:dyDescent="0.2">
      <c r="A972" s="2"/>
      <c r="B972" s="1"/>
      <c r="C972" s="27"/>
      <c r="D972" s="6"/>
      <c r="E972" s="7"/>
      <c r="F972" s="7"/>
      <c r="G972" s="31"/>
      <c r="H972" s="43"/>
    </row>
    <row r="973" spans="1:8" s="11" customFormat="1" ht="15" hidden="1" customHeight="1" outlineLevel="3" x14ac:dyDescent="0.2">
      <c r="A973" s="2"/>
      <c r="B973" s="1"/>
      <c r="C973" s="27"/>
      <c r="D973" s="6"/>
      <c r="E973" s="7"/>
      <c r="F973" s="7"/>
      <c r="G973" s="31"/>
      <c r="H973" s="43"/>
    </row>
    <row r="974" spans="1:8" s="11" customFormat="1" ht="15" hidden="1" customHeight="1" outlineLevel="2" collapsed="1" x14ac:dyDescent="0.2">
      <c r="A974" s="106">
        <f>A969+0.01</f>
        <v>4.8299999999999965</v>
      </c>
      <c r="B974" s="107"/>
      <c r="C974" s="27"/>
      <c r="D974" s="6"/>
      <c r="E974" s="7"/>
      <c r="F974" s="7"/>
      <c r="G974" s="31"/>
      <c r="H974" s="43"/>
    </row>
    <row r="975" spans="1:8" s="11" customFormat="1" ht="15" hidden="1" customHeight="1" outlineLevel="3" x14ac:dyDescent="0.2">
      <c r="A975" s="2"/>
      <c r="B975" s="1"/>
      <c r="C975" s="27"/>
      <c r="D975" s="6"/>
      <c r="E975" s="7"/>
      <c r="F975" s="7"/>
      <c r="G975" s="31"/>
      <c r="H975" s="43"/>
    </row>
    <row r="976" spans="1:8" s="11" customFormat="1" ht="15" hidden="1" customHeight="1" outlineLevel="3" x14ac:dyDescent="0.2">
      <c r="A976" s="2"/>
      <c r="B976" s="1"/>
      <c r="C976" s="27"/>
      <c r="D976" s="6"/>
      <c r="E976" s="7"/>
      <c r="F976" s="7"/>
      <c r="G976" s="31"/>
      <c r="H976" s="43"/>
    </row>
    <row r="977" spans="1:8" s="11" customFormat="1" ht="15" hidden="1" customHeight="1" outlineLevel="3" x14ac:dyDescent="0.2">
      <c r="A977" s="2"/>
      <c r="B977" s="1"/>
      <c r="C977" s="27"/>
      <c r="D977" s="6"/>
      <c r="E977" s="7"/>
      <c r="F977" s="7"/>
      <c r="G977" s="31"/>
      <c r="H977" s="43"/>
    </row>
    <row r="978" spans="1:8" s="11" customFormat="1" ht="15" hidden="1" customHeight="1" outlineLevel="3" x14ac:dyDescent="0.2">
      <c r="A978" s="2"/>
      <c r="B978" s="1"/>
      <c r="C978" s="27"/>
      <c r="D978" s="6"/>
      <c r="E978" s="7"/>
      <c r="F978" s="7"/>
      <c r="G978" s="31"/>
      <c r="H978" s="43"/>
    </row>
    <row r="979" spans="1:8" s="11" customFormat="1" ht="15" hidden="1" customHeight="1" outlineLevel="2" collapsed="1" x14ac:dyDescent="0.2">
      <c r="A979" s="2">
        <f>A974+0.01</f>
        <v>4.8399999999999963</v>
      </c>
      <c r="B979" s="1"/>
      <c r="C979" s="27"/>
      <c r="D979" s="6"/>
      <c r="E979" s="7"/>
      <c r="F979" s="7"/>
      <c r="G979" s="31"/>
      <c r="H979" s="43"/>
    </row>
    <row r="980" spans="1:8" s="11" customFormat="1" ht="15" hidden="1" customHeight="1" outlineLevel="3" x14ac:dyDescent="0.2">
      <c r="A980" s="2"/>
      <c r="B980" s="1"/>
      <c r="C980" s="27"/>
      <c r="D980" s="6"/>
      <c r="E980" s="7"/>
      <c r="F980" s="7"/>
      <c r="G980" s="31"/>
      <c r="H980" s="43"/>
    </row>
    <row r="981" spans="1:8" s="11" customFormat="1" ht="15" hidden="1" customHeight="1" outlineLevel="3" x14ac:dyDescent="0.2">
      <c r="A981" s="2"/>
      <c r="B981" s="1"/>
      <c r="C981" s="27"/>
      <c r="D981" s="6"/>
      <c r="E981" s="7"/>
      <c r="F981" s="7"/>
      <c r="G981" s="31"/>
      <c r="H981" s="43"/>
    </row>
    <row r="982" spans="1:8" s="11" customFormat="1" ht="15" hidden="1" customHeight="1" outlineLevel="3" x14ac:dyDescent="0.2">
      <c r="A982" s="2"/>
      <c r="B982" s="1"/>
      <c r="C982" s="27"/>
      <c r="D982" s="6"/>
      <c r="E982" s="7"/>
      <c r="F982" s="7"/>
      <c r="G982" s="31"/>
      <c r="H982" s="43"/>
    </row>
    <row r="983" spans="1:8" s="11" customFormat="1" ht="15" hidden="1" customHeight="1" outlineLevel="3" x14ac:dyDescent="0.2">
      <c r="A983" s="2"/>
      <c r="B983" s="1"/>
      <c r="C983" s="27"/>
      <c r="D983" s="6"/>
      <c r="E983" s="7"/>
      <c r="F983" s="7"/>
      <c r="G983" s="31"/>
      <c r="H983" s="43"/>
    </row>
    <row r="984" spans="1:8" s="11" customFormat="1" ht="15" hidden="1" customHeight="1" outlineLevel="2" x14ac:dyDescent="0.2">
      <c r="A984" s="106">
        <f>A979+0.01</f>
        <v>4.8499999999999961</v>
      </c>
      <c r="B984" s="107"/>
      <c r="C984" s="27"/>
      <c r="D984" s="6"/>
      <c r="E984" s="7"/>
      <c r="F984" s="30"/>
      <c r="G984" s="31"/>
      <c r="H984" s="43"/>
    </row>
    <row r="985" spans="1:8" s="11" customFormat="1" ht="15" hidden="1" customHeight="1" outlineLevel="3" x14ac:dyDescent="0.2">
      <c r="A985" s="2"/>
      <c r="B985" s="1"/>
      <c r="C985" s="27"/>
      <c r="D985" s="6"/>
      <c r="E985" s="7"/>
      <c r="F985" s="7"/>
      <c r="G985" s="31"/>
      <c r="H985" s="43"/>
    </row>
    <row r="986" spans="1:8" s="11" customFormat="1" ht="15" hidden="1" customHeight="1" outlineLevel="3" x14ac:dyDescent="0.2">
      <c r="A986" s="2"/>
      <c r="B986" s="1"/>
      <c r="C986" s="27"/>
      <c r="D986" s="6"/>
      <c r="E986" s="7"/>
      <c r="F986" s="7"/>
      <c r="G986" s="31"/>
      <c r="H986" s="43"/>
    </row>
    <row r="987" spans="1:8" s="11" customFormat="1" ht="15" hidden="1" customHeight="1" outlineLevel="3" x14ac:dyDescent="0.2">
      <c r="A987" s="2"/>
      <c r="B987" s="1"/>
      <c r="C987" s="27"/>
      <c r="D987" s="6"/>
      <c r="E987" s="7"/>
      <c r="F987" s="7"/>
      <c r="G987" s="31"/>
      <c r="H987" s="43"/>
    </row>
    <row r="988" spans="1:8" s="11" customFormat="1" ht="15" hidden="1" customHeight="1" outlineLevel="3" x14ac:dyDescent="0.2">
      <c r="A988" s="2"/>
      <c r="B988" s="1"/>
      <c r="C988" s="27"/>
      <c r="D988" s="6"/>
      <c r="E988" s="7"/>
      <c r="F988" s="7"/>
      <c r="G988" s="31"/>
      <c r="H988" s="43"/>
    </row>
    <row r="989" spans="1:8" s="11" customFormat="1" ht="15" hidden="1" customHeight="1" outlineLevel="1" collapsed="1" x14ac:dyDescent="0.2">
      <c r="A989" s="2">
        <f>A963+0.1</f>
        <v>4.8999999999999968</v>
      </c>
      <c r="B989" s="1"/>
      <c r="C989" s="28"/>
      <c r="D989" s="5"/>
      <c r="E989" s="9"/>
      <c r="F989" s="10"/>
      <c r="G989" s="37"/>
      <c r="H989" s="36"/>
    </row>
    <row r="990" spans="1:8" s="11" customFormat="1" ht="15" hidden="1" customHeight="1" outlineLevel="2" collapsed="1" x14ac:dyDescent="0.2">
      <c r="A990" s="106">
        <f>A989+0.01</f>
        <v>4.9099999999999966</v>
      </c>
      <c r="B990" s="107"/>
      <c r="C990" s="27"/>
      <c r="D990" s="6"/>
      <c r="E990" s="7"/>
      <c r="F990" s="7"/>
      <c r="G990" s="31"/>
      <c r="H990" s="43"/>
    </row>
    <row r="991" spans="1:8" s="11" customFormat="1" ht="15" hidden="1" customHeight="1" outlineLevel="3" x14ac:dyDescent="0.2">
      <c r="A991" s="2"/>
      <c r="B991" s="1"/>
      <c r="C991" s="27"/>
      <c r="D991" s="6"/>
      <c r="E991" s="7"/>
      <c r="F991" s="7"/>
      <c r="G991" s="31"/>
      <c r="H991" s="43"/>
    </row>
    <row r="992" spans="1:8" s="11" customFormat="1" ht="15" hidden="1" customHeight="1" outlineLevel="3" x14ac:dyDescent="0.2">
      <c r="A992" s="2"/>
      <c r="B992" s="1"/>
      <c r="C992" s="27"/>
      <c r="D992" s="6"/>
      <c r="E992" s="7"/>
      <c r="F992" s="7"/>
      <c r="G992" s="31"/>
      <c r="H992" s="43"/>
    </row>
    <row r="993" spans="1:8" s="11" customFormat="1" ht="15" hidden="1" customHeight="1" outlineLevel="3" x14ac:dyDescent="0.2">
      <c r="A993" s="2"/>
      <c r="B993" s="1"/>
      <c r="C993" s="27"/>
      <c r="D993" s="6"/>
      <c r="E993" s="7"/>
      <c r="F993" s="7"/>
      <c r="G993" s="31"/>
      <c r="H993" s="43"/>
    </row>
    <row r="994" spans="1:8" s="11" customFormat="1" ht="15" hidden="1" customHeight="1" outlineLevel="3" x14ac:dyDescent="0.2">
      <c r="A994" s="2"/>
      <c r="B994" s="1"/>
      <c r="C994" s="27"/>
      <c r="D994" s="6"/>
      <c r="E994" s="7"/>
      <c r="F994" s="7"/>
      <c r="G994" s="31"/>
      <c r="H994" s="43"/>
    </row>
    <row r="995" spans="1:8" s="11" customFormat="1" ht="15" hidden="1" customHeight="1" outlineLevel="2" collapsed="1" x14ac:dyDescent="0.2">
      <c r="A995" s="106">
        <f>A990+0.01</f>
        <v>4.9199999999999964</v>
      </c>
      <c r="B995" s="107"/>
      <c r="C995" s="27"/>
      <c r="D995" s="6"/>
      <c r="E995" s="7"/>
      <c r="F995" s="7"/>
      <c r="G995" s="31"/>
      <c r="H995" s="43"/>
    </row>
    <row r="996" spans="1:8" s="11" customFormat="1" ht="15" hidden="1" customHeight="1" outlineLevel="3" x14ac:dyDescent="0.2">
      <c r="A996" s="2"/>
      <c r="B996" s="1"/>
      <c r="C996" s="27"/>
      <c r="D996" s="6"/>
      <c r="E996" s="7"/>
      <c r="F996" s="7"/>
      <c r="G996" s="31"/>
      <c r="H996" s="43"/>
    </row>
    <row r="997" spans="1:8" s="11" customFormat="1" ht="15" hidden="1" customHeight="1" outlineLevel="3" x14ac:dyDescent="0.2">
      <c r="A997" s="2"/>
      <c r="B997" s="1"/>
      <c r="C997" s="27"/>
      <c r="D997" s="6"/>
      <c r="E997" s="7"/>
      <c r="F997" s="7"/>
      <c r="G997" s="31"/>
      <c r="H997" s="43"/>
    </row>
    <row r="998" spans="1:8" s="11" customFormat="1" ht="15" hidden="1" customHeight="1" outlineLevel="3" x14ac:dyDescent="0.2">
      <c r="A998" s="2"/>
      <c r="B998" s="1"/>
      <c r="C998" s="27"/>
      <c r="D998" s="6"/>
      <c r="E998" s="7"/>
      <c r="F998" s="7"/>
      <c r="G998" s="31"/>
      <c r="H998" s="43"/>
    </row>
    <row r="999" spans="1:8" s="11" customFormat="1" ht="15" hidden="1" customHeight="1" outlineLevel="3" x14ac:dyDescent="0.2">
      <c r="A999" s="2"/>
      <c r="B999" s="1"/>
      <c r="C999" s="27"/>
      <c r="D999" s="6"/>
      <c r="E999" s="7"/>
      <c r="F999" s="7"/>
      <c r="G999" s="31"/>
      <c r="H999" s="43"/>
    </row>
    <row r="1000" spans="1:8" s="11" customFormat="1" ht="15" hidden="1" customHeight="1" outlineLevel="2" collapsed="1" x14ac:dyDescent="0.2">
      <c r="A1000" s="106">
        <f>A995+0.01</f>
        <v>4.9299999999999962</v>
      </c>
      <c r="B1000" s="107"/>
      <c r="C1000" s="27"/>
      <c r="D1000" s="6"/>
      <c r="E1000" s="7"/>
      <c r="F1000" s="7"/>
      <c r="G1000" s="31"/>
      <c r="H1000" s="43"/>
    </row>
    <row r="1001" spans="1:8" s="11" customFormat="1" ht="15" hidden="1" customHeight="1" outlineLevel="3" x14ac:dyDescent="0.2">
      <c r="A1001" s="2"/>
      <c r="B1001" s="1"/>
      <c r="C1001" s="27"/>
      <c r="D1001" s="6"/>
      <c r="E1001" s="7"/>
      <c r="F1001" s="7"/>
      <c r="G1001" s="31"/>
      <c r="H1001" s="43"/>
    </row>
    <row r="1002" spans="1:8" s="11" customFormat="1" ht="15" hidden="1" customHeight="1" outlineLevel="3" x14ac:dyDescent="0.2">
      <c r="A1002" s="2"/>
      <c r="B1002" s="1"/>
      <c r="C1002" s="27"/>
      <c r="D1002" s="6"/>
      <c r="E1002" s="7"/>
      <c r="F1002" s="7"/>
      <c r="G1002" s="31"/>
      <c r="H1002" s="43"/>
    </row>
    <row r="1003" spans="1:8" s="11" customFormat="1" ht="15" hidden="1" customHeight="1" outlineLevel="3" x14ac:dyDescent="0.2">
      <c r="A1003" s="2"/>
      <c r="B1003" s="1"/>
      <c r="C1003" s="27"/>
      <c r="D1003" s="6"/>
      <c r="E1003" s="7"/>
      <c r="F1003" s="7"/>
      <c r="G1003" s="31"/>
      <c r="H1003" s="43"/>
    </row>
    <row r="1004" spans="1:8" s="11" customFormat="1" ht="15" hidden="1" customHeight="1" outlineLevel="3" x14ac:dyDescent="0.2">
      <c r="A1004" s="2"/>
      <c r="B1004" s="1"/>
      <c r="C1004" s="27"/>
      <c r="D1004" s="6"/>
      <c r="E1004" s="7"/>
      <c r="F1004" s="7"/>
      <c r="G1004" s="31"/>
      <c r="H1004" s="43"/>
    </row>
    <row r="1005" spans="1:8" s="11" customFormat="1" ht="15" hidden="1" customHeight="1" outlineLevel="2" collapsed="1" x14ac:dyDescent="0.2">
      <c r="A1005" s="2">
        <f>A1000+0.01</f>
        <v>4.9399999999999959</v>
      </c>
      <c r="B1005" s="1"/>
      <c r="C1005" s="27"/>
      <c r="D1005" s="6"/>
      <c r="E1005" s="7"/>
      <c r="F1005" s="7"/>
      <c r="G1005" s="31"/>
      <c r="H1005" s="43"/>
    </row>
    <row r="1006" spans="1:8" s="11" customFormat="1" ht="15" hidden="1" customHeight="1" outlineLevel="3" x14ac:dyDescent="0.2">
      <c r="A1006" s="2"/>
      <c r="B1006" s="1"/>
      <c r="C1006" s="27"/>
      <c r="D1006" s="6"/>
      <c r="E1006" s="7"/>
      <c r="F1006" s="7"/>
      <c r="G1006" s="31"/>
      <c r="H1006" s="43"/>
    </row>
    <row r="1007" spans="1:8" s="11" customFormat="1" ht="15" hidden="1" customHeight="1" outlineLevel="3" x14ac:dyDescent="0.2">
      <c r="A1007" s="2"/>
      <c r="B1007" s="1"/>
      <c r="C1007" s="27"/>
      <c r="D1007" s="6"/>
      <c r="E1007" s="7"/>
      <c r="F1007" s="7"/>
      <c r="G1007" s="31"/>
      <c r="H1007" s="43"/>
    </row>
    <row r="1008" spans="1:8" s="11" customFormat="1" ht="15" hidden="1" customHeight="1" outlineLevel="3" x14ac:dyDescent="0.2">
      <c r="A1008" s="2"/>
      <c r="B1008" s="1"/>
      <c r="C1008" s="27"/>
      <c r="D1008" s="6"/>
      <c r="E1008" s="7"/>
      <c r="F1008" s="7"/>
      <c r="G1008" s="31"/>
      <c r="H1008" s="43"/>
    </row>
    <row r="1009" spans="1:8" s="11" customFormat="1" ht="15" hidden="1" customHeight="1" outlineLevel="3" x14ac:dyDescent="0.2">
      <c r="A1009" s="2"/>
      <c r="B1009" s="1"/>
      <c r="C1009" s="27"/>
      <c r="D1009" s="6"/>
      <c r="E1009" s="7"/>
      <c r="F1009" s="7"/>
      <c r="G1009" s="31"/>
      <c r="H1009" s="43"/>
    </row>
    <row r="1010" spans="1:8" s="11" customFormat="1" ht="15" hidden="1" customHeight="1" outlineLevel="2" collapsed="1" x14ac:dyDescent="0.2">
      <c r="A1010" s="106">
        <f>A1005+0.01</f>
        <v>4.9499999999999957</v>
      </c>
      <c r="B1010" s="107"/>
      <c r="C1010" s="27"/>
      <c r="D1010" s="6"/>
      <c r="E1010" s="7"/>
      <c r="F1010" s="30"/>
      <c r="G1010" s="31"/>
      <c r="H1010" s="43"/>
    </row>
    <row r="1011" spans="1:8" s="11" customFormat="1" ht="15" hidden="1" customHeight="1" outlineLevel="3" x14ac:dyDescent="0.2">
      <c r="A1011" s="2"/>
      <c r="B1011" s="1"/>
      <c r="C1011" s="27"/>
      <c r="D1011" s="6"/>
      <c r="E1011" s="7"/>
      <c r="F1011" s="7"/>
      <c r="G1011" s="31"/>
      <c r="H1011" s="43"/>
    </row>
    <row r="1012" spans="1:8" s="11" customFormat="1" ht="15" hidden="1" customHeight="1" outlineLevel="3" x14ac:dyDescent="0.2">
      <c r="A1012" s="2"/>
      <c r="B1012" s="1"/>
      <c r="C1012" s="27"/>
      <c r="D1012" s="6"/>
      <c r="E1012" s="7"/>
      <c r="F1012" s="7"/>
      <c r="G1012" s="31"/>
      <c r="H1012" s="43"/>
    </row>
    <row r="1013" spans="1:8" s="11" customFormat="1" ht="14.25" hidden="1" customHeight="1" outlineLevel="3" x14ac:dyDescent="0.2">
      <c r="A1013" s="2"/>
      <c r="B1013" s="1"/>
      <c r="C1013" s="27"/>
      <c r="D1013" s="6"/>
      <c r="E1013" s="7"/>
      <c r="F1013" s="7"/>
      <c r="G1013" s="31"/>
      <c r="H1013" s="43"/>
    </row>
    <row r="1014" spans="1:8" s="11" customFormat="1" ht="15" hidden="1" customHeight="1" outlineLevel="3" x14ac:dyDescent="0.2">
      <c r="A1014" s="2"/>
      <c r="B1014" s="1"/>
      <c r="C1014" s="27"/>
      <c r="D1014" s="6"/>
      <c r="E1014" s="7"/>
      <c r="F1014" s="7"/>
      <c r="G1014" s="31"/>
      <c r="H1014" s="43"/>
    </row>
    <row r="1015" spans="1:8" s="29" customFormat="1" ht="15" customHeight="1" x14ac:dyDescent="0.2">
      <c r="A1015" s="103" t="s">
        <v>25</v>
      </c>
      <c r="B1015" s="104"/>
      <c r="C1015" s="104"/>
      <c r="D1015" s="104"/>
      <c r="E1015" s="104"/>
      <c r="F1015" s="104"/>
      <c r="G1015" s="105"/>
      <c r="H1015" s="38"/>
    </row>
    <row r="1016" spans="1:8" s="8" customFormat="1" ht="12" hidden="1" customHeight="1" collapsed="1" x14ac:dyDescent="0.2">
      <c r="A1016" s="123">
        <v>5</v>
      </c>
      <c r="B1016" s="124"/>
      <c r="C1016" s="40"/>
      <c r="D1016" s="41"/>
      <c r="E1016" s="41"/>
      <c r="F1016" s="41"/>
      <c r="G1016" s="42"/>
      <c r="H1016" s="42"/>
    </row>
    <row r="1017" spans="1:8" s="11" customFormat="1" ht="15" hidden="1" customHeight="1" outlineLevel="1" collapsed="1" x14ac:dyDescent="0.2">
      <c r="A1017" s="2">
        <f>A1016+0.1</f>
        <v>5.0999999999999996</v>
      </c>
      <c r="B1017" s="1"/>
      <c r="C1017" s="28"/>
      <c r="D1017" s="5"/>
      <c r="E1017" s="9"/>
      <c r="F1017" s="10"/>
      <c r="G1017" s="37"/>
      <c r="H1017" s="36"/>
    </row>
    <row r="1018" spans="1:8" s="11" customFormat="1" ht="15" hidden="1" customHeight="1" outlineLevel="2" collapsed="1" x14ac:dyDescent="0.2">
      <c r="A1018" s="106">
        <f>A1017+0.01</f>
        <v>5.1099999999999994</v>
      </c>
      <c r="B1018" s="107"/>
      <c r="C1018" s="27"/>
      <c r="D1018" s="6"/>
      <c r="E1018" s="7"/>
      <c r="F1018" s="7"/>
      <c r="G1018" s="31"/>
      <c r="H1018" s="43"/>
    </row>
    <row r="1019" spans="1:8" s="11" customFormat="1" ht="15" hidden="1" customHeight="1" outlineLevel="3" x14ac:dyDescent="0.2">
      <c r="A1019" s="2"/>
      <c r="B1019" s="1"/>
      <c r="C1019" s="27"/>
      <c r="D1019" s="6"/>
      <c r="E1019" s="7"/>
      <c r="F1019" s="7"/>
      <c r="G1019" s="31"/>
      <c r="H1019" s="43"/>
    </row>
    <row r="1020" spans="1:8" s="11" customFormat="1" ht="15" hidden="1" customHeight="1" outlineLevel="3" x14ac:dyDescent="0.2">
      <c r="A1020" s="2"/>
      <c r="B1020" s="1"/>
      <c r="C1020" s="27"/>
      <c r="D1020" s="6"/>
      <c r="E1020" s="7"/>
      <c r="F1020" s="7"/>
      <c r="G1020" s="31"/>
      <c r="H1020" s="43"/>
    </row>
    <row r="1021" spans="1:8" s="11" customFormat="1" ht="15" hidden="1" customHeight="1" outlineLevel="3" x14ac:dyDescent="0.2">
      <c r="A1021" s="2"/>
      <c r="B1021" s="1"/>
      <c r="C1021" s="27"/>
      <c r="D1021" s="6"/>
      <c r="E1021" s="7"/>
      <c r="F1021" s="7"/>
      <c r="G1021" s="31"/>
      <c r="H1021" s="43"/>
    </row>
    <row r="1022" spans="1:8" s="11" customFormat="1" ht="15" hidden="1" customHeight="1" outlineLevel="3" x14ac:dyDescent="0.2">
      <c r="A1022" s="2"/>
      <c r="B1022" s="1"/>
      <c r="C1022" s="27"/>
      <c r="D1022" s="6"/>
      <c r="E1022" s="7"/>
      <c r="F1022" s="7"/>
      <c r="G1022" s="31"/>
      <c r="H1022" s="43"/>
    </row>
    <row r="1023" spans="1:8" s="11" customFormat="1" ht="15" hidden="1" customHeight="1" outlineLevel="2" collapsed="1" x14ac:dyDescent="0.2">
      <c r="A1023" s="106">
        <f>A1018+0.01</f>
        <v>5.1199999999999992</v>
      </c>
      <c r="B1023" s="107"/>
      <c r="C1023" s="27"/>
      <c r="D1023" s="6"/>
      <c r="E1023" s="7"/>
      <c r="F1023" s="7"/>
      <c r="G1023" s="31"/>
      <c r="H1023" s="43"/>
    </row>
    <row r="1024" spans="1:8" s="11" customFormat="1" ht="15" hidden="1" customHeight="1" outlineLevel="3" x14ac:dyDescent="0.2">
      <c r="A1024" s="2"/>
      <c r="B1024" s="1"/>
      <c r="C1024" s="27"/>
      <c r="D1024" s="6"/>
      <c r="E1024" s="7"/>
      <c r="F1024" s="7"/>
      <c r="G1024" s="31"/>
      <c r="H1024" s="43"/>
    </row>
    <row r="1025" spans="1:8" s="11" customFormat="1" ht="15" hidden="1" customHeight="1" outlineLevel="3" x14ac:dyDescent="0.2">
      <c r="A1025" s="2"/>
      <c r="B1025" s="1"/>
      <c r="C1025" s="27"/>
      <c r="D1025" s="6"/>
      <c r="E1025" s="7"/>
      <c r="F1025" s="7"/>
      <c r="G1025" s="31"/>
      <c r="H1025" s="43"/>
    </row>
    <row r="1026" spans="1:8" s="11" customFormat="1" ht="15" hidden="1" customHeight="1" outlineLevel="3" x14ac:dyDescent="0.2">
      <c r="A1026" s="2"/>
      <c r="B1026" s="1"/>
      <c r="C1026" s="27"/>
      <c r="D1026" s="6"/>
      <c r="E1026" s="7"/>
      <c r="F1026" s="7"/>
      <c r="G1026" s="31"/>
      <c r="H1026" s="43"/>
    </row>
    <row r="1027" spans="1:8" s="11" customFormat="1" ht="15" hidden="1" customHeight="1" outlineLevel="3" x14ac:dyDescent="0.2">
      <c r="A1027" s="2"/>
      <c r="B1027" s="1"/>
      <c r="C1027" s="27"/>
      <c r="D1027" s="6"/>
      <c r="E1027" s="7"/>
      <c r="F1027" s="7"/>
      <c r="G1027" s="31"/>
      <c r="H1027" s="43"/>
    </row>
    <row r="1028" spans="1:8" s="11" customFormat="1" ht="15" hidden="1" customHeight="1" outlineLevel="2" collapsed="1" x14ac:dyDescent="0.2">
      <c r="A1028" s="106">
        <f>A1023+0.01</f>
        <v>5.129999999999999</v>
      </c>
      <c r="B1028" s="107"/>
      <c r="C1028" s="27"/>
      <c r="D1028" s="6"/>
      <c r="E1028" s="7"/>
      <c r="F1028" s="7"/>
      <c r="G1028" s="31"/>
      <c r="H1028" s="43"/>
    </row>
    <row r="1029" spans="1:8" s="11" customFormat="1" ht="15" hidden="1" customHeight="1" outlineLevel="3" x14ac:dyDescent="0.2">
      <c r="A1029" s="2"/>
      <c r="B1029" s="1"/>
      <c r="C1029" s="27"/>
      <c r="D1029" s="6"/>
      <c r="E1029" s="7"/>
      <c r="F1029" s="7"/>
      <c r="G1029" s="31"/>
      <c r="H1029" s="43"/>
    </row>
    <row r="1030" spans="1:8" s="11" customFormat="1" ht="15" hidden="1" customHeight="1" outlineLevel="3" x14ac:dyDescent="0.2">
      <c r="A1030" s="2"/>
      <c r="B1030" s="1"/>
      <c r="C1030" s="27"/>
      <c r="D1030" s="6"/>
      <c r="E1030" s="7"/>
      <c r="F1030" s="7"/>
      <c r="G1030" s="31"/>
      <c r="H1030" s="43"/>
    </row>
    <row r="1031" spans="1:8" s="11" customFormat="1" ht="15" hidden="1" customHeight="1" outlineLevel="3" x14ac:dyDescent="0.2">
      <c r="A1031" s="2"/>
      <c r="B1031" s="1"/>
      <c r="C1031" s="27"/>
      <c r="D1031" s="6"/>
      <c r="E1031" s="7"/>
      <c r="F1031" s="7"/>
      <c r="G1031" s="31"/>
      <c r="H1031" s="43"/>
    </row>
    <row r="1032" spans="1:8" s="11" customFormat="1" ht="15" hidden="1" customHeight="1" outlineLevel="3" x14ac:dyDescent="0.2">
      <c r="A1032" s="2"/>
      <c r="B1032" s="1"/>
      <c r="C1032" s="27"/>
      <c r="D1032" s="6"/>
      <c r="E1032" s="7"/>
      <c r="F1032" s="7"/>
      <c r="G1032" s="31"/>
      <c r="H1032" s="43"/>
    </row>
    <row r="1033" spans="1:8" s="11" customFormat="1" ht="15" hidden="1" customHeight="1" outlineLevel="2" collapsed="1" x14ac:dyDescent="0.2">
      <c r="A1033" s="2">
        <f>A1028+0.01</f>
        <v>5.1399999999999988</v>
      </c>
      <c r="B1033" s="1"/>
      <c r="C1033" s="27"/>
      <c r="D1033" s="6"/>
      <c r="E1033" s="7"/>
      <c r="F1033" s="7"/>
      <c r="G1033" s="31"/>
      <c r="H1033" s="43"/>
    </row>
    <row r="1034" spans="1:8" s="11" customFormat="1" ht="15" hidden="1" customHeight="1" outlineLevel="3" x14ac:dyDescent="0.2">
      <c r="A1034" s="2"/>
      <c r="B1034" s="1"/>
      <c r="C1034" s="27"/>
      <c r="D1034" s="6"/>
      <c r="E1034" s="7"/>
      <c r="F1034" s="7"/>
      <c r="G1034" s="31"/>
      <c r="H1034" s="43"/>
    </row>
    <row r="1035" spans="1:8" s="11" customFormat="1" ht="15" hidden="1" customHeight="1" outlineLevel="3" x14ac:dyDescent="0.2">
      <c r="A1035" s="2"/>
      <c r="B1035" s="1"/>
      <c r="C1035" s="27"/>
      <c r="D1035" s="6"/>
      <c r="E1035" s="7"/>
      <c r="F1035" s="7"/>
      <c r="G1035" s="31"/>
      <c r="H1035" s="43"/>
    </row>
    <row r="1036" spans="1:8" s="11" customFormat="1" ht="15" hidden="1" customHeight="1" outlineLevel="3" x14ac:dyDescent="0.2">
      <c r="A1036" s="2"/>
      <c r="B1036" s="1"/>
      <c r="C1036" s="27"/>
      <c r="D1036" s="6"/>
      <c r="E1036" s="7"/>
      <c r="F1036" s="7"/>
      <c r="G1036" s="31"/>
      <c r="H1036" s="43"/>
    </row>
    <row r="1037" spans="1:8" s="11" customFormat="1" ht="15" hidden="1" customHeight="1" outlineLevel="3" x14ac:dyDescent="0.2">
      <c r="A1037" s="2"/>
      <c r="B1037" s="1"/>
      <c r="C1037" s="27"/>
      <c r="D1037" s="6"/>
      <c r="E1037" s="7"/>
      <c r="F1037" s="7"/>
      <c r="G1037" s="31"/>
      <c r="H1037" s="43"/>
    </row>
    <row r="1038" spans="1:8" s="11" customFormat="1" ht="15" hidden="1" customHeight="1" outlineLevel="2" collapsed="1" x14ac:dyDescent="0.2">
      <c r="A1038" s="106">
        <f>A1033+0.01</f>
        <v>5.1499999999999986</v>
      </c>
      <c r="B1038" s="107"/>
      <c r="C1038" s="27"/>
      <c r="D1038" s="6"/>
      <c r="E1038" s="7"/>
      <c r="F1038" s="30"/>
      <c r="G1038" s="31"/>
      <c r="H1038" s="43"/>
    </row>
    <row r="1039" spans="1:8" s="11" customFormat="1" ht="15" hidden="1" customHeight="1" outlineLevel="3" x14ac:dyDescent="0.2">
      <c r="A1039" s="2"/>
      <c r="B1039" s="1"/>
      <c r="C1039" s="27"/>
      <c r="D1039" s="6"/>
      <c r="E1039" s="7"/>
      <c r="F1039" s="7"/>
      <c r="G1039" s="31"/>
      <c r="H1039" s="43"/>
    </row>
    <row r="1040" spans="1:8" s="11" customFormat="1" ht="15" hidden="1" customHeight="1" outlineLevel="3" x14ac:dyDescent="0.2">
      <c r="A1040" s="2"/>
      <c r="B1040" s="1"/>
      <c r="C1040" s="27"/>
      <c r="D1040" s="6"/>
      <c r="E1040" s="7"/>
      <c r="F1040" s="7"/>
      <c r="G1040" s="31"/>
      <c r="H1040" s="43"/>
    </row>
    <row r="1041" spans="1:8" s="11" customFormat="1" ht="15" hidden="1" customHeight="1" outlineLevel="3" x14ac:dyDescent="0.2">
      <c r="A1041" s="2"/>
      <c r="B1041" s="1"/>
      <c r="C1041" s="27"/>
      <c r="D1041" s="6"/>
      <c r="E1041" s="7"/>
      <c r="F1041" s="7"/>
      <c r="G1041" s="31"/>
      <c r="H1041" s="43"/>
    </row>
    <row r="1042" spans="1:8" s="11" customFormat="1" ht="15" hidden="1" customHeight="1" outlineLevel="3" x14ac:dyDescent="0.2">
      <c r="A1042" s="2"/>
      <c r="B1042" s="1"/>
      <c r="C1042" s="27"/>
      <c r="D1042" s="6"/>
      <c r="E1042" s="7"/>
      <c r="F1042" s="7"/>
      <c r="G1042" s="31"/>
      <c r="H1042" s="43"/>
    </row>
    <row r="1043" spans="1:8" s="11" customFormat="1" ht="15" hidden="1" customHeight="1" outlineLevel="1" collapsed="1" x14ac:dyDescent="0.2">
      <c r="A1043" s="2">
        <f>A1017+0.1</f>
        <v>5.1999999999999993</v>
      </c>
      <c r="B1043" s="1"/>
      <c r="C1043" s="28"/>
      <c r="D1043" s="5"/>
      <c r="E1043" s="9"/>
      <c r="F1043" s="10"/>
      <c r="G1043" s="37"/>
      <c r="H1043" s="36"/>
    </row>
    <row r="1044" spans="1:8" s="11" customFormat="1" ht="15" hidden="1" customHeight="1" outlineLevel="2" collapsed="1" x14ac:dyDescent="0.2">
      <c r="A1044" s="106">
        <f>A1043+0.01</f>
        <v>5.2099999999999991</v>
      </c>
      <c r="B1044" s="107"/>
      <c r="C1044" s="27"/>
      <c r="D1044" s="6"/>
      <c r="E1044" s="7"/>
      <c r="F1044" s="7"/>
      <c r="G1044" s="31"/>
      <c r="H1044" s="43"/>
    </row>
    <row r="1045" spans="1:8" s="11" customFormat="1" ht="15" hidden="1" customHeight="1" outlineLevel="3" x14ac:dyDescent="0.2">
      <c r="A1045" s="2"/>
      <c r="B1045" s="1"/>
      <c r="C1045" s="27"/>
      <c r="D1045" s="6"/>
      <c r="E1045" s="7"/>
      <c r="F1045" s="7"/>
      <c r="G1045" s="31"/>
      <c r="H1045" s="43"/>
    </row>
    <row r="1046" spans="1:8" s="11" customFormat="1" ht="15" hidden="1" customHeight="1" outlineLevel="3" x14ac:dyDescent="0.2">
      <c r="A1046" s="2"/>
      <c r="B1046" s="1"/>
      <c r="C1046" s="27"/>
      <c r="D1046" s="6"/>
      <c r="E1046" s="7"/>
      <c r="F1046" s="7"/>
      <c r="G1046" s="31"/>
      <c r="H1046" s="43"/>
    </row>
    <row r="1047" spans="1:8" s="11" customFormat="1" ht="15" hidden="1" customHeight="1" outlineLevel="3" x14ac:dyDescent="0.2">
      <c r="A1047" s="2"/>
      <c r="B1047" s="1"/>
      <c r="C1047" s="27"/>
      <c r="D1047" s="6"/>
      <c r="E1047" s="7"/>
      <c r="F1047" s="7"/>
      <c r="G1047" s="31"/>
      <c r="H1047" s="43"/>
    </row>
    <row r="1048" spans="1:8" s="11" customFormat="1" ht="15" hidden="1" customHeight="1" outlineLevel="3" x14ac:dyDescent="0.2">
      <c r="A1048" s="2"/>
      <c r="B1048" s="1"/>
      <c r="C1048" s="27"/>
      <c r="D1048" s="6"/>
      <c r="E1048" s="7"/>
      <c r="F1048" s="7"/>
      <c r="G1048" s="31"/>
      <c r="H1048" s="43"/>
    </row>
    <row r="1049" spans="1:8" s="11" customFormat="1" ht="15" hidden="1" customHeight="1" outlineLevel="2" collapsed="1" x14ac:dyDescent="0.2">
      <c r="A1049" s="106">
        <f>A1044+0.01</f>
        <v>5.2199999999999989</v>
      </c>
      <c r="B1049" s="107"/>
      <c r="C1049" s="27"/>
      <c r="D1049" s="6"/>
      <c r="E1049" s="7"/>
      <c r="F1049" s="7"/>
      <c r="G1049" s="31"/>
      <c r="H1049" s="43"/>
    </row>
    <row r="1050" spans="1:8" s="11" customFormat="1" ht="15" hidden="1" customHeight="1" outlineLevel="3" x14ac:dyDescent="0.2">
      <c r="A1050" s="2"/>
      <c r="B1050" s="1"/>
      <c r="C1050" s="27"/>
      <c r="D1050" s="6"/>
      <c r="E1050" s="7"/>
      <c r="F1050" s="7"/>
      <c r="G1050" s="31"/>
      <c r="H1050" s="43"/>
    </row>
    <row r="1051" spans="1:8" s="11" customFormat="1" ht="15" hidden="1" customHeight="1" outlineLevel="3" x14ac:dyDescent="0.2">
      <c r="A1051" s="2"/>
      <c r="B1051" s="1"/>
      <c r="C1051" s="27"/>
      <c r="D1051" s="6"/>
      <c r="E1051" s="7"/>
      <c r="F1051" s="7"/>
      <c r="G1051" s="31"/>
      <c r="H1051" s="43"/>
    </row>
    <row r="1052" spans="1:8" s="11" customFormat="1" ht="15" hidden="1" customHeight="1" outlineLevel="3" x14ac:dyDescent="0.2">
      <c r="A1052" s="2"/>
      <c r="B1052" s="1"/>
      <c r="C1052" s="27"/>
      <c r="D1052" s="6"/>
      <c r="E1052" s="7"/>
      <c r="F1052" s="7"/>
      <c r="G1052" s="31"/>
      <c r="H1052" s="43"/>
    </row>
    <row r="1053" spans="1:8" s="11" customFormat="1" ht="15" hidden="1" customHeight="1" outlineLevel="3" x14ac:dyDescent="0.2">
      <c r="A1053" s="2"/>
      <c r="B1053" s="1"/>
      <c r="C1053" s="27"/>
      <c r="D1053" s="6"/>
      <c r="E1053" s="7"/>
      <c r="F1053" s="7"/>
      <c r="G1053" s="31"/>
      <c r="H1053" s="43"/>
    </row>
    <row r="1054" spans="1:8" s="11" customFormat="1" ht="15" hidden="1" customHeight="1" outlineLevel="2" collapsed="1" x14ac:dyDescent="0.2">
      <c r="A1054" s="106">
        <f>A1049+0.01</f>
        <v>5.2299999999999986</v>
      </c>
      <c r="B1054" s="107"/>
      <c r="C1054" s="27"/>
      <c r="D1054" s="6"/>
      <c r="E1054" s="7"/>
      <c r="F1054" s="7"/>
      <c r="G1054" s="31"/>
      <c r="H1054" s="43"/>
    </row>
    <row r="1055" spans="1:8" s="11" customFormat="1" ht="15" hidden="1" customHeight="1" outlineLevel="3" x14ac:dyDescent="0.2">
      <c r="A1055" s="2"/>
      <c r="B1055" s="1"/>
      <c r="C1055" s="27"/>
      <c r="D1055" s="6"/>
      <c r="E1055" s="7"/>
      <c r="F1055" s="7"/>
      <c r="G1055" s="31"/>
      <c r="H1055" s="43"/>
    </row>
    <row r="1056" spans="1:8" s="11" customFormat="1" ht="15" hidden="1" customHeight="1" outlineLevel="3" x14ac:dyDescent="0.2">
      <c r="A1056" s="2"/>
      <c r="B1056" s="1"/>
      <c r="C1056" s="27"/>
      <c r="D1056" s="6"/>
      <c r="E1056" s="7"/>
      <c r="F1056" s="7"/>
      <c r="G1056" s="31"/>
      <c r="H1056" s="43"/>
    </row>
    <row r="1057" spans="1:8" s="11" customFormat="1" ht="15" hidden="1" customHeight="1" outlineLevel="3" x14ac:dyDescent="0.2">
      <c r="A1057" s="2"/>
      <c r="B1057" s="1"/>
      <c r="C1057" s="27"/>
      <c r="D1057" s="6"/>
      <c r="E1057" s="7"/>
      <c r="F1057" s="7"/>
      <c r="G1057" s="31"/>
      <c r="H1057" s="43"/>
    </row>
    <row r="1058" spans="1:8" s="11" customFormat="1" ht="15" hidden="1" customHeight="1" outlineLevel="3" x14ac:dyDescent="0.2">
      <c r="A1058" s="2"/>
      <c r="B1058" s="1"/>
      <c r="C1058" s="27"/>
      <c r="D1058" s="6"/>
      <c r="E1058" s="7"/>
      <c r="F1058" s="7"/>
      <c r="G1058" s="31"/>
      <c r="H1058" s="43"/>
    </row>
    <row r="1059" spans="1:8" s="11" customFormat="1" ht="15" hidden="1" customHeight="1" outlineLevel="2" collapsed="1" x14ac:dyDescent="0.2">
      <c r="A1059" s="2">
        <f>A1054+0.01</f>
        <v>5.2399999999999984</v>
      </c>
      <c r="B1059" s="1"/>
      <c r="C1059" s="27"/>
      <c r="D1059" s="6"/>
      <c r="E1059" s="7"/>
      <c r="F1059" s="7"/>
      <c r="G1059" s="31"/>
      <c r="H1059" s="43"/>
    </row>
    <row r="1060" spans="1:8" s="11" customFormat="1" ht="15" hidden="1" customHeight="1" outlineLevel="3" x14ac:dyDescent="0.2">
      <c r="A1060" s="2"/>
      <c r="B1060" s="1"/>
      <c r="C1060" s="27"/>
      <c r="D1060" s="6"/>
      <c r="E1060" s="7"/>
      <c r="F1060" s="7"/>
      <c r="G1060" s="31"/>
      <c r="H1060" s="43"/>
    </row>
    <row r="1061" spans="1:8" s="11" customFormat="1" ht="15" hidden="1" customHeight="1" outlineLevel="3" x14ac:dyDescent="0.2">
      <c r="A1061" s="2"/>
      <c r="B1061" s="1"/>
      <c r="C1061" s="27"/>
      <c r="D1061" s="6"/>
      <c r="E1061" s="7"/>
      <c r="F1061" s="7"/>
      <c r="G1061" s="31"/>
      <c r="H1061" s="43"/>
    </row>
    <row r="1062" spans="1:8" s="11" customFormat="1" ht="15" hidden="1" customHeight="1" outlineLevel="3" x14ac:dyDescent="0.2">
      <c r="A1062" s="2"/>
      <c r="B1062" s="1"/>
      <c r="C1062" s="27"/>
      <c r="D1062" s="6"/>
      <c r="E1062" s="7"/>
      <c r="F1062" s="7"/>
      <c r="G1062" s="31"/>
      <c r="H1062" s="43"/>
    </row>
    <row r="1063" spans="1:8" s="11" customFormat="1" ht="15" hidden="1" customHeight="1" outlineLevel="3" x14ac:dyDescent="0.2">
      <c r="A1063" s="2"/>
      <c r="B1063" s="1"/>
      <c r="C1063" s="27"/>
      <c r="D1063" s="6"/>
      <c r="E1063" s="7"/>
      <c r="F1063" s="7"/>
      <c r="G1063" s="31"/>
      <c r="H1063" s="43"/>
    </row>
    <row r="1064" spans="1:8" s="11" customFormat="1" ht="15" hidden="1" customHeight="1" outlineLevel="2" collapsed="1" x14ac:dyDescent="0.2">
      <c r="A1064" s="106">
        <f>A1059+0.01</f>
        <v>5.2499999999999982</v>
      </c>
      <c r="B1064" s="107"/>
      <c r="C1064" s="27"/>
      <c r="D1064" s="6"/>
      <c r="E1064" s="7"/>
      <c r="F1064" s="30"/>
      <c r="G1064" s="31"/>
      <c r="H1064" s="43"/>
    </row>
    <row r="1065" spans="1:8" s="11" customFormat="1" ht="15" hidden="1" customHeight="1" outlineLevel="3" x14ac:dyDescent="0.2">
      <c r="A1065" s="2"/>
      <c r="B1065" s="1"/>
      <c r="C1065" s="27"/>
      <c r="D1065" s="6"/>
      <c r="E1065" s="7"/>
      <c r="F1065" s="7"/>
      <c r="G1065" s="31"/>
      <c r="H1065" s="43"/>
    </row>
    <row r="1066" spans="1:8" s="11" customFormat="1" ht="15" hidden="1" customHeight="1" outlineLevel="3" x14ac:dyDescent="0.2">
      <c r="A1066" s="2"/>
      <c r="B1066" s="1"/>
      <c r="C1066" s="27"/>
      <c r="D1066" s="6"/>
      <c r="E1066" s="7"/>
      <c r="F1066" s="7"/>
      <c r="G1066" s="31"/>
      <c r="H1066" s="43"/>
    </row>
    <row r="1067" spans="1:8" s="11" customFormat="1" ht="15" hidden="1" customHeight="1" outlineLevel="3" x14ac:dyDescent="0.2">
      <c r="A1067" s="2"/>
      <c r="B1067" s="1"/>
      <c r="C1067" s="27"/>
      <c r="D1067" s="6"/>
      <c r="E1067" s="7"/>
      <c r="F1067" s="7"/>
      <c r="G1067" s="31"/>
      <c r="H1067" s="43"/>
    </row>
    <row r="1068" spans="1:8" s="11" customFormat="1" ht="15" hidden="1" customHeight="1" outlineLevel="3" x14ac:dyDescent="0.2">
      <c r="A1068" s="2"/>
      <c r="B1068" s="1"/>
      <c r="C1068" s="27"/>
      <c r="D1068" s="6"/>
      <c r="E1068" s="7"/>
      <c r="F1068" s="7"/>
      <c r="G1068" s="31"/>
      <c r="H1068" s="43"/>
    </row>
    <row r="1069" spans="1:8" s="11" customFormat="1" ht="15" hidden="1" customHeight="1" outlineLevel="1" collapsed="1" x14ac:dyDescent="0.2">
      <c r="A1069" s="2">
        <f>A1043+0.1</f>
        <v>5.2999999999999989</v>
      </c>
      <c r="B1069" s="1"/>
      <c r="C1069" s="28"/>
      <c r="D1069" s="5"/>
      <c r="E1069" s="9"/>
      <c r="F1069" s="10"/>
      <c r="G1069" s="37"/>
      <c r="H1069" s="36"/>
    </row>
    <row r="1070" spans="1:8" s="11" customFormat="1" ht="15" hidden="1" customHeight="1" outlineLevel="2" collapsed="1" x14ac:dyDescent="0.2">
      <c r="A1070" s="106">
        <f>A1069+0.01</f>
        <v>5.3099999999999987</v>
      </c>
      <c r="B1070" s="107"/>
      <c r="C1070" s="27"/>
      <c r="D1070" s="6"/>
      <c r="E1070" s="7"/>
      <c r="F1070" s="7"/>
      <c r="G1070" s="31"/>
      <c r="H1070" s="43"/>
    </row>
    <row r="1071" spans="1:8" s="11" customFormat="1" ht="15" hidden="1" customHeight="1" outlineLevel="3" x14ac:dyDescent="0.2">
      <c r="A1071" s="2"/>
      <c r="B1071" s="1"/>
      <c r="C1071" s="27"/>
      <c r="D1071" s="6"/>
      <c r="E1071" s="7"/>
      <c r="F1071" s="7"/>
      <c r="G1071" s="31"/>
      <c r="H1071" s="43"/>
    </row>
    <row r="1072" spans="1:8" s="11" customFormat="1" ht="15" hidden="1" customHeight="1" outlineLevel="3" x14ac:dyDescent="0.2">
      <c r="A1072" s="2"/>
      <c r="B1072" s="1"/>
      <c r="C1072" s="27"/>
      <c r="D1072" s="6"/>
      <c r="E1072" s="7"/>
      <c r="F1072" s="7"/>
      <c r="G1072" s="31"/>
      <c r="H1072" s="43"/>
    </row>
    <row r="1073" spans="1:8" s="11" customFormat="1" ht="15" hidden="1" customHeight="1" outlineLevel="3" x14ac:dyDescent="0.2">
      <c r="A1073" s="2"/>
      <c r="B1073" s="1"/>
      <c r="C1073" s="27"/>
      <c r="D1073" s="6"/>
      <c r="E1073" s="7"/>
      <c r="F1073" s="7"/>
      <c r="G1073" s="31"/>
      <c r="H1073" s="43"/>
    </row>
    <row r="1074" spans="1:8" s="11" customFormat="1" ht="15" hidden="1" customHeight="1" outlineLevel="3" x14ac:dyDescent="0.2">
      <c r="A1074" s="2"/>
      <c r="B1074" s="1"/>
      <c r="C1074" s="27"/>
      <c r="D1074" s="6"/>
      <c r="E1074" s="7"/>
      <c r="F1074" s="7"/>
      <c r="G1074" s="31"/>
      <c r="H1074" s="43"/>
    </row>
    <row r="1075" spans="1:8" s="11" customFormat="1" ht="15" hidden="1" customHeight="1" outlineLevel="2" collapsed="1" x14ac:dyDescent="0.2">
      <c r="A1075" s="106">
        <f>A1070+0.01</f>
        <v>5.3199999999999985</v>
      </c>
      <c r="B1075" s="107"/>
      <c r="C1075" s="27"/>
      <c r="D1075" s="6"/>
      <c r="E1075" s="7"/>
      <c r="F1075" s="7"/>
      <c r="G1075" s="31"/>
      <c r="H1075" s="43"/>
    </row>
    <row r="1076" spans="1:8" s="11" customFormat="1" ht="15" hidden="1" customHeight="1" outlineLevel="3" x14ac:dyDescent="0.2">
      <c r="A1076" s="2"/>
      <c r="B1076" s="1"/>
      <c r="C1076" s="27"/>
      <c r="D1076" s="6"/>
      <c r="E1076" s="7"/>
      <c r="F1076" s="7"/>
      <c r="G1076" s="31"/>
      <c r="H1076" s="43"/>
    </row>
    <row r="1077" spans="1:8" s="11" customFormat="1" ht="15" hidden="1" customHeight="1" outlineLevel="3" x14ac:dyDescent="0.2">
      <c r="A1077" s="2"/>
      <c r="B1077" s="1"/>
      <c r="C1077" s="27"/>
      <c r="D1077" s="6"/>
      <c r="E1077" s="7"/>
      <c r="F1077" s="7"/>
      <c r="G1077" s="31"/>
      <c r="H1077" s="43"/>
    </row>
    <row r="1078" spans="1:8" s="11" customFormat="1" ht="15" hidden="1" customHeight="1" outlineLevel="3" x14ac:dyDescent="0.2">
      <c r="A1078" s="2"/>
      <c r="B1078" s="1"/>
      <c r="C1078" s="27"/>
      <c r="D1078" s="6"/>
      <c r="E1078" s="7"/>
      <c r="F1078" s="7"/>
      <c r="G1078" s="31"/>
      <c r="H1078" s="43"/>
    </row>
    <row r="1079" spans="1:8" s="11" customFormat="1" ht="15" hidden="1" customHeight="1" outlineLevel="3" x14ac:dyDescent="0.2">
      <c r="A1079" s="2"/>
      <c r="B1079" s="1"/>
      <c r="C1079" s="27"/>
      <c r="D1079" s="6"/>
      <c r="E1079" s="7"/>
      <c r="F1079" s="7"/>
      <c r="G1079" s="31"/>
      <c r="H1079" s="43"/>
    </row>
    <row r="1080" spans="1:8" s="11" customFormat="1" ht="15" hidden="1" customHeight="1" outlineLevel="2" collapsed="1" x14ac:dyDescent="0.2">
      <c r="A1080" s="106">
        <f>A1075+0.01</f>
        <v>5.3299999999999983</v>
      </c>
      <c r="B1080" s="107"/>
      <c r="C1080" s="27"/>
      <c r="D1080" s="6"/>
      <c r="E1080" s="7"/>
      <c r="F1080" s="7"/>
      <c r="G1080" s="31"/>
      <c r="H1080" s="43"/>
    </row>
    <row r="1081" spans="1:8" s="11" customFormat="1" ht="15" hidden="1" customHeight="1" outlineLevel="3" x14ac:dyDescent="0.2">
      <c r="A1081" s="2"/>
      <c r="B1081" s="1"/>
      <c r="C1081" s="27"/>
      <c r="D1081" s="6"/>
      <c r="E1081" s="7"/>
      <c r="F1081" s="7"/>
      <c r="G1081" s="31"/>
      <c r="H1081" s="43"/>
    </row>
    <row r="1082" spans="1:8" s="11" customFormat="1" ht="15" hidden="1" customHeight="1" outlineLevel="3" x14ac:dyDescent="0.2">
      <c r="A1082" s="2"/>
      <c r="B1082" s="1"/>
      <c r="C1082" s="27"/>
      <c r="D1082" s="6"/>
      <c r="E1082" s="7"/>
      <c r="F1082" s="7"/>
      <c r="G1082" s="31"/>
      <c r="H1082" s="43"/>
    </row>
    <row r="1083" spans="1:8" s="11" customFormat="1" ht="15" hidden="1" customHeight="1" outlineLevel="3" x14ac:dyDescent="0.2">
      <c r="A1083" s="2"/>
      <c r="B1083" s="1"/>
      <c r="C1083" s="27"/>
      <c r="D1083" s="6"/>
      <c r="E1083" s="7"/>
      <c r="F1083" s="7"/>
      <c r="G1083" s="31"/>
      <c r="H1083" s="43"/>
    </row>
    <row r="1084" spans="1:8" s="11" customFormat="1" ht="15" hidden="1" customHeight="1" outlineLevel="3" x14ac:dyDescent="0.2">
      <c r="A1084" s="2"/>
      <c r="B1084" s="1"/>
      <c r="C1084" s="27"/>
      <c r="D1084" s="6"/>
      <c r="E1084" s="7"/>
      <c r="F1084" s="7"/>
      <c r="G1084" s="31"/>
      <c r="H1084" s="43"/>
    </row>
    <row r="1085" spans="1:8" s="11" customFormat="1" ht="15" hidden="1" customHeight="1" outlineLevel="2" collapsed="1" x14ac:dyDescent="0.2">
      <c r="A1085" s="2">
        <f>A1080+0.01</f>
        <v>5.3399999999999981</v>
      </c>
      <c r="B1085" s="1"/>
      <c r="C1085" s="27"/>
      <c r="D1085" s="6"/>
      <c r="E1085" s="7"/>
      <c r="F1085" s="7"/>
      <c r="G1085" s="31"/>
      <c r="H1085" s="43"/>
    </row>
    <row r="1086" spans="1:8" s="11" customFormat="1" ht="15" hidden="1" customHeight="1" outlineLevel="3" x14ac:dyDescent="0.2">
      <c r="A1086" s="2"/>
      <c r="B1086" s="1"/>
      <c r="C1086" s="27"/>
      <c r="D1086" s="6"/>
      <c r="E1086" s="7"/>
      <c r="F1086" s="7"/>
      <c r="G1086" s="31"/>
      <c r="H1086" s="43"/>
    </row>
    <row r="1087" spans="1:8" s="11" customFormat="1" ht="15" hidden="1" customHeight="1" outlineLevel="3" x14ac:dyDescent="0.2">
      <c r="A1087" s="2"/>
      <c r="B1087" s="1"/>
      <c r="C1087" s="27"/>
      <c r="D1087" s="6"/>
      <c r="E1087" s="7"/>
      <c r="F1087" s="7"/>
      <c r="G1087" s="31"/>
      <c r="H1087" s="43"/>
    </row>
    <row r="1088" spans="1:8" s="11" customFormat="1" ht="15" hidden="1" customHeight="1" outlineLevel="3" x14ac:dyDescent="0.2">
      <c r="A1088" s="2"/>
      <c r="B1088" s="1"/>
      <c r="C1088" s="27"/>
      <c r="D1088" s="6"/>
      <c r="E1088" s="7"/>
      <c r="F1088" s="7"/>
      <c r="G1088" s="31"/>
      <c r="H1088" s="43"/>
    </row>
    <row r="1089" spans="1:8" s="11" customFormat="1" ht="15" hidden="1" customHeight="1" outlineLevel="3" x14ac:dyDescent="0.2">
      <c r="A1089" s="2"/>
      <c r="B1089" s="1"/>
      <c r="C1089" s="27"/>
      <c r="D1089" s="6"/>
      <c r="E1089" s="7"/>
      <c r="F1089" s="7"/>
      <c r="G1089" s="31"/>
      <c r="H1089" s="43"/>
    </row>
    <row r="1090" spans="1:8" s="11" customFormat="1" ht="15" hidden="1" customHeight="1" outlineLevel="2" collapsed="1" x14ac:dyDescent="0.2">
      <c r="A1090" s="106">
        <f>A1085+0.01</f>
        <v>5.3499999999999979</v>
      </c>
      <c r="B1090" s="107"/>
      <c r="C1090" s="27"/>
      <c r="D1090" s="6"/>
      <c r="E1090" s="7"/>
      <c r="F1090" s="30"/>
      <c r="G1090" s="31"/>
      <c r="H1090" s="43"/>
    </row>
    <row r="1091" spans="1:8" s="11" customFormat="1" ht="15" hidden="1" customHeight="1" outlineLevel="3" x14ac:dyDescent="0.2">
      <c r="A1091" s="2"/>
      <c r="B1091" s="1"/>
      <c r="C1091" s="27"/>
      <c r="D1091" s="6"/>
      <c r="E1091" s="7"/>
      <c r="F1091" s="7"/>
      <c r="G1091" s="31"/>
      <c r="H1091" s="43"/>
    </row>
    <row r="1092" spans="1:8" s="11" customFormat="1" ht="15" hidden="1" customHeight="1" outlineLevel="3" x14ac:dyDescent="0.2">
      <c r="A1092" s="2"/>
      <c r="B1092" s="1"/>
      <c r="C1092" s="27"/>
      <c r="D1092" s="6"/>
      <c r="E1092" s="7"/>
      <c r="F1092" s="7"/>
      <c r="G1092" s="31"/>
      <c r="H1092" s="43"/>
    </row>
    <row r="1093" spans="1:8" s="11" customFormat="1" ht="15" hidden="1" customHeight="1" outlineLevel="3" x14ac:dyDescent="0.2">
      <c r="A1093" s="2"/>
      <c r="B1093" s="1"/>
      <c r="C1093" s="27"/>
      <c r="D1093" s="6"/>
      <c r="E1093" s="7"/>
      <c r="F1093" s="7"/>
      <c r="G1093" s="31"/>
      <c r="H1093" s="43"/>
    </row>
    <row r="1094" spans="1:8" s="11" customFormat="1" ht="15" hidden="1" customHeight="1" outlineLevel="3" x14ac:dyDescent="0.2">
      <c r="A1094" s="2"/>
      <c r="B1094" s="1"/>
      <c r="C1094" s="27"/>
      <c r="D1094" s="6"/>
      <c r="E1094" s="7"/>
      <c r="F1094" s="7"/>
      <c r="G1094" s="31"/>
      <c r="H1094" s="43"/>
    </row>
    <row r="1095" spans="1:8" s="11" customFormat="1" ht="15" hidden="1" customHeight="1" outlineLevel="1" collapsed="1" x14ac:dyDescent="0.2">
      <c r="A1095" s="2">
        <f>A1069+0.1</f>
        <v>5.3999999999999986</v>
      </c>
      <c r="B1095" s="1"/>
      <c r="C1095" s="28"/>
      <c r="D1095" s="5"/>
      <c r="E1095" s="9"/>
      <c r="F1095" s="10"/>
      <c r="G1095" s="37"/>
      <c r="H1095" s="36"/>
    </row>
    <row r="1096" spans="1:8" s="11" customFormat="1" ht="15" hidden="1" customHeight="1" outlineLevel="2" collapsed="1" x14ac:dyDescent="0.2">
      <c r="A1096" s="106">
        <f>A1095+0.01</f>
        <v>5.4099999999999984</v>
      </c>
      <c r="B1096" s="107"/>
      <c r="C1096" s="27"/>
      <c r="D1096" s="6"/>
      <c r="E1096" s="7"/>
      <c r="F1096" s="7"/>
      <c r="G1096" s="31"/>
      <c r="H1096" s="43"/>
    </row>
    <row r="1097" spans="1:8" s="11" customFormat="1" ht="15" hidden="1" customHeight="1" outlineLevel="3" x14ac:dyDescent="0.2">
      <c r="A1097" s="2"/>
      <c r="B1097" s="1"/>
      <c r="C1097" s="27"/>
      <c r="D1097" s="6"/>
      <c r="E1097" s="7"/>
      <c r="F1097" s="7"/>
      <c r="G1097" s="31"/>
      <c r="H1097" s="43"/>
    </row>
    <row r="1098" spans="1:8" s="11" customFormat="1" ht="15" hidden="1" customHeight="1" outlineLevel="3" x14ac:dyDescent="0.2">
      <c r="A1098" s="2"/>
      <c r="B1098" s="1"/>
      <c r="C1098" s="27"/>
      <c r="D1098" s="6"/>
      <c r="E1098" s="7"/>
      <c r="F1098" s="7"/>
      <c r="G1098" s="31"/>
      <c r="H1098" s="43"/>
    </row>
    <row r="1099" spans="1:8" s="11" customFormat="1" ht="15" hidden="1" customHeight="1" outlineLevel="3" x14ac:dyDescent="0.2">
      <c r="A1099" s="2"/>
      <c r="B1099" s="1"/>
      <c r="C1099" s="27"/>
      <c r="D1099" s="6"/>
      <c r="E1099" s="7"/>
      <c r="F1099" s="7"/>
      <c r="G1099" s="31"/>
      <c r="H1099" s="43"/>
    </row>
    <row r="1100" spans="1:8" s="11" customFormat="1" ht="15" hidden="1" customHeight="1" outlineLevel="3" x14ac:dyDescent="0.2">
      <c r="A1100" s="2"/>
      <c r="B1100" s="1"/>
      <c r="C1100" s="27"/>
      <c r="D1100" s="6"/>
      <c r="E1100" s="7"/>
      <c r="F1100" s="7"/>
      <c r="G1100" s="31"/>
      <c r="H1100" s="43"/>
    </row>
    <row r="1101" spans="1:8" s="11" customFormat="1" ht="15" hidden="1" customHeight="1" outlineLevel="2" collapsed="1" x14ac:dyDescent="0.2">
      <c r="A1101" s="106">
        <f>A1096+0.01</f>
        <v>5.4199999999999982</v>
      </c>
      <c r="B1101" s="107"/>
      <c r="C1101" s="27"/>
      <c r="D1101" s="6"/>
      <c r="E1101" s="7"/>
      <c r="F1101" s="7"/>
      <c r="G1101" s="31"/>
      <c r="H1101" s="43"/>
    </row>
    <row r="1102" spans="1:8" s="11" customFormat="1" ht="15" hidden="1" customHeight="1" outlineLevel="3" x14ac:dyDescent="0.2">
      <c r="A1102" s="2"/>
      <c r="B1102" s="1"/>
      <c r="C1102" s="27"/>
      <c r="D1102" s="6"/>
      <c r="E1102" s="7"/>
      <c r="F1102" s="7"/>
      <c r="G1102" s="31"/>
      <c r="H1102" s="43"/>
    </row>
    <row r="1103" spans="1:8" s="11" customFormat="1" ht="15" hidden="1" customHeight="1" outlineLevel="3" x14ac:dyDescent="0.2">
      <c r="A1103" s="2"/>
      <c r="B1103" s="1"/>
      <c r="C1103" s="27"/>
      <c r="D1103" s="6"/>
      <c r="E1103" s="7"/>
      <c r="F1103" s="7"/>
      <c r="G1103" s="31"/>
      <c r="H1103" s="43"/>
    </row>
    <row r="1104" spans="1:8" s="11" customFormat="1" ht="15" hidden="1" customHeight="1" outlineLevel="3" x14ac:dyDescent="0.2">
      <c r="A1104" s="2"/>
      <c r="B1104" s="1"/>
      <c r="C1104" s="27"/>
      <c r="D1104" s="6"/>
      <c r="E1104" s="7"/>
      <c r="F1104" s="7"/>
      <c r="G1104" s="31"/>
      <c r="H1104" s="43"/>
    </row>
    <row r="1105" spans="1:8" s="11" customFormat="1" ht="15" hidden="1" customHeight="1" outlineLevel="3" x14ac:dyDescent="0.2">
      <c r="A1105" s="2"/>
      <c r="B1105" s="1"/>
      <c r="C1105" s="27"/>
      <c r="D1105" s="6"/>
      <c r="E1105" s="7"/>
      <c r="F1105" s="7"/>
      <c r="G1105" s="31"/>
      <c r="H1105" s="43"/>
    </row>
    <row r="1106" spans="1:8" s="11" customFormat="1" ht="15" hidden="1" customHeight="1" outlineLevel="2" collapsed="1" x14ac:dyDescent="0.2">
      <c r="A1106" s="106">
        <f>A1101+0.01</f>
        <v>5.4299999999999979</v>
      </c>
      <c r="B1106" s="107"/>
      <c r="C1106" s="27"/>
      <c r="D1106" s="6"/>
      <c r="E1106" s="7"/>
      <c r="F1106" s="7"/>
      <c r="G1106" s="31"/>
      <c r="H1106" s="43"/>
    </row>
    <row r="1107" spans="1:8" s="11" customFormat="1" ht="15" hidden="1" customHeight="1" outlineLevel="3" x14ac:dyDescent="0.2">
      <c r="A1107" s="2"/>
      <c r="B1107" s="1"/>
      <c r="C1107" s="27"/>
      <c r="D1107" s="6"/>
      <c r="E1107" s="7"/>
      <c r="F1107" s="7"/>
      <c r="G1107" s="31"/>
      <c r="H1107" s="43"/>
    </row>
    <row r="1108" spans="1:8" s="11" customFormat="1" ht="15" hidden="1" customHeight="1" outlineLevel="3" x14ac:dyDescent="0.2">
      <c r="A1108" s="2"/>
      <c r="B1108" s="1"/>
      <c r="C1108" s="27"/>
      <c r="D1108" s="6"/>
      <c r="E1108" s="7"/>
      <c r="F1108" s="7"/>
      <c r="G1108" s="31"/>
      <c r="H1108" s="43"/>
    </row>
    <row r="1109" spans="1:8" s="11" customFormat="1" ht="15" hidden="1" customHeight="1" outlineLevel="3" x14ac:dyDescent="0.2">
      <c r="A1109" s="2"/>
      <c r="B1109" s="1"/>
      <c r="C1109" s="27"/>
      <c r="D1109" s="6"/>
      <c r="E1109" s="7"/>
      <c r="F1109" s="7"/>
      <c r="G1109" s="31"/>
      <c r="H1109" s="43"/>
    </row>
    <row r="1110" spans="1:8" s="11" customFormat="1" ht="15" hidden="1" customHeight="1" outlineLevel="3" x14ac:dyDescent="0.2">
      <c r="A1110" s="2"/>
      <c r="B1110" s="1"/>
      <c r="C1110" s="27"/>
      <c r="D1110" s="6"/>
      <c r="E1110" s="7"/>
      <c r="F1110" s="7"/>
      <c r="G1110" s="31"/>
      <c r="H1110" s="43"/>
    </row>
    <row r="1111" spans="1:8" s="11" customFormat="1" ht="15" hidden="1" customHeight="1" outlineLevel="2" collapsed="1" x14ac:dyDescent="0.2">
      <c r="A1111" s="2">
        <f>A1106+0.01</f>
        <v>5.4399999999999977</v>
      </c>
      <c r="B1111" s="1"/>
      <c r="C1111" s="27"/>
      <c r="D1111" s="6"/>
      <c r="E1111" s="7"/>
      <c r="F1111" s="7"/>
      <c r="G1111" s="31"/>
      <c r="H1111" s="43"/>
    </row>
    <row r="1112" spans="1:8" s="11" customFormat="1" ht="15" hidden="1" customHeight="1" outlineLevel="3" x14ac:dyDescent="0.2">
      <c r="A1112" s="2"/>
      <c r="B1112" s="1"/>
      <c r="C1112" s="27"/>
      <c r="D1112" s="6"/>
      <c r="E1112" s="7"/>
      <c r="F1112" s="7"/>
      <c r="G1112" s="31"/>
      <c r="H1112" s="43"/>
    </row>
    <row r="1113" spans="1:8" s="11" customFormat="1" ht="15" hidden="1" customHeight="1" outlineLevel="3" x14ac:dyDescent="0.2">
      <c r="A1113" s="2"/>
      <c r="B1113" s="1"/>
      <c r="C1113" s="27"/>
      <c r="D1113" s="6"/>
      <c r="E1113" s="7"/>
      <c r="F1113" s="7"/>
      <c r="G1113" s="31"/>
      <c r="H1113" s="43"/>
    </row>
    <row r="1114" spans="1:8" s="11" customFormat="1" ht="15" hidden="1" customHeight="1" outlineLevel="3" x14ac:dyDescent="0.2">
      <c r="A1114" s="2"/>
      <c r="B1114" s="1"/>
      <c r="C1114" s="27"/>
      <c r="D1114" s="6"/>
      <c r="E1114" s="7"/>
      <c r="F1114" s="7"/>
      <c r="G1114" s="31"/>
      <c r="H1114" s="43"/>
    </row>
    <row r="1115" spans="1:8" s="11" customFormat="1" ht="15" hidden="1" customHeight="1" outlineLevel="3" x14ac:dyDescent="0.2">
      <c r="A1115" s="2"/>
      <c r="B1115" s="1"/>
      <c r="C1115" s="27"/>
      <c r="D1115" s="6"/>
      <c r="E1115" s="7"/>
      <c r="F1115" s="7"/>
      <c r="G1115" s="31"/>
      <c r="H1115" s="43"/>
    </row>
    <row r="1116" spans="1:8" s="11" customFormat="1" ht="15" hidden="1" customHeight="1" outlineLevel="2" collapsed="1" x14ac:dyDescent="0.2">
      <c r="A1116" s="106">
        <f>A1111+0.01</f>
        <v>5.4499999999999975</v>
      </c>
      <c r="B1116" s="107"/>
      <c r="C1116" s="27"/>
      <c r="D1116" s="6"/>
      <c r="E1116" s="7"/>
      <c r="F1116" s="30"/>
      <c r="G1116" s="31"/>
      <c r="H1116" s="43"/>
    </row>
    <row r="1117" spans="1:8" s="11" customFormat="1" ht="15" hidden="1" customHeight="1" outlineLevel="3" x14ac:dyDescent="0.2">
      <c r="A1117" s="2"/>
      <c r="B1117" s="1"/>
      <c r="C1117" s="27"/>
      <c r="D1117" s="6"/>
      <c r="E1117" s="7"/>
      <c r="F1117" s="7"/>
      <c r="G1117" s="31"/>
      <c r="H1117" s="43"/>
    </row>
    <row r="1118" spans="1:8" s="11" customFormat="1" ht="15" hidden="1" customHeight="1" outlineLevel="3" x14ac:dyDescent="0.2">
      <c r="A1118" s="2"/>
      <c r="B1118" s="1"/>
      <c r="C1118" s="27"/>
      <c r="D1118" s="6"/>
      <c r="E1118" s="7"/>
      <c r="F1118" s="7"/>
      <c r="G1118" s="31"/>
      <c r="H1118" s="43"/>
    </row>
    <row r="1119" spans="1:8" s="11" customFormat="1" ht="15" hidden="1" customHeight="1" outlineLevel="3" x14ac:dyDescent="0.2">
      <c r="A1119" s="2"/>
      <c r="B1119" s="1"/>
      <c r="C1119" s="27"/>
      <c r="D1119" s="6"/>
      <c r="E1119" s="7"/>
      <c r="F1119" s="7"/>
      <c r="G1119" s="31"/>
      <c r="H1119" s="43"/>
    </row>
    <row r="1120" spans="1:8" s="11" customFormat="1" ht="15" hidden="1" customHeight="1" outlineLevel="3" x14ac:dyDescent="0.2">
      <c r="A1120" s="2"/>
      <c r="B1120" s="1"/>
      <c r="C1120" s="27"/>
      <c r="D1120" s="6"/>
      <c r="E1120" s="7"/>
      <c r="F1120" s="7"/>
      <c r="G1120" s="31"/>
      <c r="H1120" s="43"/>
    </row>
    <row r="1121" spans="1:8" s="11" customFormat="1" ht="15" hidden="1" customHeight="1" outlineLevel="1" collapsed="1" x14ac:dyDescent="0.2">
      <c r="A1121" s="2">
        <f>A1095+0.1</f>
        <v>5.4999999999999982</v>
      </c>
      <c r="B1121" s="1"/>
      <c r="C1121" s="28"/>
      <c r="D1121" s="5"/>
      <c r="E1121" s="9"/>
      <c r="F1121" s="10"/>
      <c r="G1121" s="37"/>
      <c r="H1121" s="36"/>
    </row>
    <row r="1122" spans="1:8" s="11" customFormat="1" ht="15" hidden="1" customHeight="1" outlineLevel="2" collapsed="1" x14ac:dyDescent="0.2">
      <c r="A1122" s="106">
        <f>A1121+0.01</f>
        <v>5.509999999999998</v>
      </c>
      <c r="B1122" s="107"/>
      <c r="C1122" s="27"/>
      <c r="D1122" s="6"/>
      <c r="E1122" s="7"/>
      <c r="F1122" s="7"/>
      <c r="G1122" s="31"/>
      <c r="H1122" s="43"/>
    </row>
    <row r="1123" spans="1:8" s="11" customFormat="1" ht="15" hidden="1" customHeight="1" outlineLevel="3" x14ac:dyDescent="0.2">
      <c r="A1123" s="2"/>
      <c r="B1123" s="1"/>
      <c r="C1123" s="27"/>
      <c r="D1123" s="6"/>
      <c r="E1123" s="7"/>
      <c r="F1123" s="7"/>
      <c r="G1123" s="31"/>
      <c r="H1123" s="43"/>
    </row>
    <row r="1124" spans="1:8" s="11" customFormat="1" ht="15" hidden="1" customHeight="1" outlineLevel="3" x14ac:dyDescent="0.2">
      <c r="A1124" s="2"/>
      <c r="B1124" s="1"/>
      <c r="C1124" s="27"/>
      <c r="D1124" s="6"/>
      <c r="E1124" s="7"/>
      <c r="F1124" s="7"/>
      <c r="G1124" s="31"/>
      <c r="H1124" s="43"/>
    </row>
    <row r="1125" spans="1:8" s="11" customFormat="1" ht="15" hidden="1" customHeight="1" outlineLevel="3" x14ac:dyDescent="0.2">
      <c r="A1125" s="2"/>
      <c r="B1125" s="1"/>
      <c r="C1125" s="27"/>
      <c r="D1125" s="6"/>
      <c r="E1125" s="7"/>
      <c r="F1125" s="7"/>
      <c r="G1125" s="31"/>
      <c r="H1125" s="43"/>
    </row>
    <row r="1126" spans="1:8" s="11" customFormat="1" ht="15" hidden="1" customHeight="1" outlineLevel="3" x14ac:dyDescent="0.2">
      <c r="A1126" s="2"/>
      <c r="B1126" s="1"/>
      <c r="C1126" s="27"/>
      <c r="D1126" s="6"/>
      <c r="E1126" s="7"/>
      <c r="F1126" s="7"/>
      <c r="G1126" s="31"/>
      <c r="H1126" s="43"/>
    </row>
    <row r="1127" spans="1:8" s="11" customFormat="1" ht="15" hidden="1" customHeight="1" outlineLevel="2" collapsed="1" x14ac:dyDescent="0.2">
      <c r="A1127" s="106">
        <f>A1122+0.01</f>
        <v>5.5199999999999978</v>
      </c>
      <c r="B1127" s="107"/>
      <c r="C1127" s="27"/>
      <c r="D1127" s="6"/>
      <c r="E1127" s="7"/>
      <c r="F1127" s="7"/>
      <c r="G1127" s="31"/>
      <c r="H1127" s="43"/>
    </row>
    <row r="1128" spans="1:8" s="11" customFormat="1" ht="15" hidden="1" customHeight="1" outlineLevel="3" x14ac:dyDescent="0.2">
      <c r="A1128" s="2"/>
      <c r="B1128" s="1"/>
      <c r="C1128" s="27"/>
      <c r="D1128" s="6"/>
      <c r="E1128" s="7"/>
      <c r="F1128" s="7"/>
      <c r="G1128" s="31"/>
      <c r="H1128" s="43"/>
    </row>
    <row r="1129" spans="1:8" s="11" customFormat="1" ht="15" hidden="1" customHeight="1" outlineLevel="3" x14ac:dyDescent="0.2">
      <c r="A1129" s="2"/>
      <c r="B1129" s="1"/>
      <c r="C1129" s="27"/>
      <c r="D1129" s="6"/>
      <c r="E1129" s="7"/>
      <c r="F1129" s="7"/>
      <c r="G1129" s="31"/>
      <c r="H1129" s="43"/>
    </row>
    <row r="1130" spans="1:8" s="11" customFormat="1" ht="15" hidden="1" customHeight="1" outlineLevel="3" x14ac:dyDescent="0.2">
      <c r="A1130" s="2"/>
      <c r="B1130" s="1"/>
      <c r="C1130" s="27"/>
      <c r="D1130" s="6"/>
      <c r="E1130" s="7"/>
      <c r="F1130" s="7"/>
      <c r="G1130" s="31"/>
      <c r="H1130" s="43"/>
    </row>
    <row r="1131" spans="1:8" s="11" customFormat="1" ht="15" hidden="1" customHeight="1" outlineLevel="3" x14ac:dyDescent="0.2">
      <c r="A1131" s="2"/>
      <c r="B1131" s="1"/>
      <c r="C1131" s="27"/>
      <c r="D1131" s="6"/>
      <c r="E1131" s="7"/>
      <c r="F1131" s="7"/>
      <c r="G1131" s="31"/>
      <c r="H1131" s="43"/>
    </row>
    <row r="1132" spans="1:8" s="11" customFormat="1" ht="15" hidden="1" customHeight="1" outlineLevel="2" collapsed="1" x14ac:dyDescent="0.2">
      <c r="A1132" s="106">
        <f>A1127+0.01</f>
        <v>5.5299999999999976</v>
      </c>
      <c r="B1132" s="107"/>
      <c r="C1132" s="27"/>
      <c r="D1132" s="6"/>
      <c r="E1132" s="7"/>
      <c r="F1132" s="7"/>
      <c r="G1132" s="31"/>
      <c r="H1132" s="43"/>
    </row>
    <row r="1133" spans="1:8" s="11" customFormat="1" ht="15" hidden="1" customHeight="1" outlineLevel="3" x14ac:dyDescent="0.2">
      <c r="A1133" s="2"/>
      <c r="B1133" s="1"/>
      <c r="C1133" s="27"/>
      <c r="D1133" s="6"/>
      <c r="E1133" s="7"/>
      <c r="F1133" s="7"/>
      <c r="G1133" s="31"/>
      <c r="H1133" s="43"/>
    </row>
    <row r="1134" spans="1:8" s="11" customFormat="1" ht="15" hidden="1" customHeight="1" outlineLevel="3" x14ac:dyDescent="0.2">
      <c r="A1134" s="2"/>
      <c r="B1134" s="1"/>
      <c r="C1134" s="27"/>
      <c r="D1134" s="6"/>
      <c r="E1134" s="7"/>
      <c r="F1134" s="7"/>
      <c r="G1134" s="31"/>
      <c r="H1134" s="43"/>
    </row>
    <row r="1135" spans="1:8" s="11" customFormat="1" ht="15" hidden="1" customHeight="1" outlineLevel="3" x14ac:dyDescent="0.2">
      <c r="A1135" s="2"/>
      <c r="B1135" s="1"/>
      <c r="C1135" s="27"/>
      <c r="D1135" s="6"/>
      <c r="E1135" s="7"/>
      <c r="F1135" s="7"/>
      <c r="G1135" s="31"/>
      <c r="H1135" s="43"/>
    </row>
    <row r="1136" spans="1:8" s="11" customFormat="1" ht="15" hidden="1" customHeight="1" outlineLevel="3" x14ac:dyDescent="0.2">
      <c r="A1136" s="2"/>
      <c r="B1136" s="1"/>
      <c r="C1136" s="27"/>
      <c r="D1136" s="6"/>
      <c r="E1136" s="7"/>
      <c r="F1136" s="7"/>
      <c r="G1136" s="31"/>
      <c r="H1136" s="43"/>
    </row>
    <row r="1137" spans="1:8" s="11" customFormat="1" ht="15" hidden="1" customHeight="1" outlineLevel="2" collapsed="1" x14ac:dyDescent="0.2">
      <c r="A1137" s="2">
        <f>A1132+0.01</f>
        <v>5.5399999999999974</v>
      </c>
      <c r="B1137" s="1"/>
      <c r="C1137" s="27"/>
      <c r="D1137" s="6"/>
      <c r="E1137" s="7"/>
      <c r="F1137" s="7"/>
      <c r="G1137" s="31"/>
      <c r="H1137" s="43"/>
    </row>
    <row r="1138" spans="1:8" s="11" customFormat="1" ht="15" hidden="1" customHeight="1" outlineLevel="3" x14ac:dyDescent="0.2">
      <c r="A1138" s="2"/>
      <c r="B1138" s="1"/>
      <c r="C1138" s="27"/>
      <c r="D1138" s="6"/>
      <c r="E1138" s="7"/>
      <c r="F1138" s="7"/>
      <c r="G1138" s="31"/>
      <c r="H1138" s="43"/>
    </row>
    <row r="1139" spans="1:8" s="11" customFormat="1" ht="15" hidden="1" customHeight="1" outlineLevel="3" x14ac:dyDescent="0.2">
      <c r="A1139" s="2"/>
      <c r="B1139" s="1"/>
      <c r="C1139" s="27"/>
      <c r="D1139" s="6"/>
      <c r="E1139" s="7"/>
      <c r="F1139" s="7"/>
      <c r="G1139" s="31"/>
      <c r="H1139" s="43"/>
    </row>
    <row r="1140" spans="1:8" s="11" customFormat="1" ht="15" hidden="1" customHeight="1" outlineLevel="3" x14ac:dyDescent="0.2">
      <c r="A1140" s="2"/>
      <c r="B1140" s="1"/>
      <c r="C1140" s="27"/>
      <c r="D1140" s="6"/>
      <c r="E1140" s="7"/>
      <c r="F1140" s="7"/>
      <c r="G1140" s="31"/>
      <c r="H1140" s="43"/>
    </row>
    <row r="1141" spans="1:8" s="11" customFormat="1" ht="15" hidden="1" customHeight="1" outlineLevel="3" x14ac:dyDescent="0.2">
      <c r="A1141" s="2"/>
      <c r="B1141" s="1"/>
      <c r="C1141" s="27"/>
      <c r="D1141" s="6"/>
      <c r="E1141" s="7"/>
      <c r="F1141" s="7"/>
      <c r="G1141" s="31"/>
      <c r="H1141" s="43"/>
    </row>
    <row r="1142" spans="1:8" s="11" customFormat="1" ht="15" hidden="1" customHeight="1" outlineLevel="2" collapsed="1" x14ac:dyDescent="0.2">
      <c r="A1142" s="106">
        <f>A1137+0.01</f>
        <v>5.5499999999999972</v>
      </c>
      <c r="B1142" s="107"/>
      <c r="C1142" s="27"/>
      <c r="D1142" s="6"/>
      <c r="E1142" s="7"/>
      <c r="F1142" s="30"/>
      <c r="G1142" s="31"/>
      <c r="H1142" s="43"/>
    </row>
    <row r="1143" spans="1:8" s="11" customFormat="1" ht="15" hidden="1" customHeight="1" outlineLevel="3" x14ac:dyDescent="0.2">
      <c r="A1143" s="2"/>
      <c r="B1143" s="1"/>
      <c r="C1143" s="27"/>
      <c r="D1143" s="6"/>
      <c r="E1143" s="7"/>
      <c r="F1143" s="7"/>
      <c r="G1143" s="31"/>
      <c r="H1143" s="43"/>
    </row>
    <row r="1144" spans="1:8" s="11" customFormat="1" ht="15" hidden="1" customHeight="1" outlineLevel="3" x14ac:dyDescent="0.2">
      <c r="A1144" s="2"/>
      <c r="B1144" s="1"/>
      <c r="C1144" s="27"/>
      <c r="D1144" s="6"/>
      <c r="E1144" s="7"/>
      <c r="F1144" s="7"/>
      <c r="G1144" s="31"/>
      <c r="H1144" s="43"/>
    </row>
    <row r="1145" spans="1:8" s="11" customFormat="1" ht="15" hidden="1" customHeight="1" outlineLevel="3" x14ac:dyDescent="0.2">
      <c r="A1145" s="2"/>
      <c r="B1145" s="1"/>
      <c r="C1145" s="27"/>
      <c r="D1145" s="6"/>
      <c r="E1145" s="7"/>
      <c r="F1145" s="7"/>
      <c r="G1145" s="31"/>
      <c r="H1145" s="43"/>
    </row>
    <row r="1146" spans="1:8" s="11" customFormat="1" ht="15" hidden="1" customHeight="1" outlineLevel="3" x14ac:dyDescent="0.2">
      <c r="A1146" s="2"/>
      <c r="B1146" s="1"/>
      <c r="C1146" s="27"/>
      <c r="D1146" s="6"/>
      <c r="E1146" s="7"/>
      <c r="F1146" s="7"/>
      <c r="G1146" s="31"/>
      <c r="H1146" s="43"/>
    </row>
    <row r="1147" spans="1:8" s="11" customFormat="1" ht="15" hidden="1" customHeight="1" outlineLevel="1" collapsed="1" x14ac:dyDescent="0.2">
      <c r="A1147" s="2">
        <f>A1121+0.1</f>
        <v>5.5999999999999979</v>
      </c>
      <c r="B1147" s="1"/>
      <c r="C1147" s="28"/>
      <c r="D1147" s="5"/>
      <c r="E1147" s="9"/>
      <c r="F1147" s="10"/>
      <c r="G1147" s="37"/>
      <c r="H1147" s="36"/>
    </row>
    <row r="1148" spans="1:8" s="11" customFormat="1" ht="15" hidden="1" customHeight="1" outlineLevel="2" collapsed="1" x14ac:dyDescent="0.2">
      <c r="A1148" s="106">
        <f>A1147+0.01</f>
        <v>5.6099999999999977</v>
      </c>
      <c r="B1148" s="107"/>
      <c r="C1148" s="27"/>
      <c r="D1148" s="6"/>
      <c r="E1148" s="7"/>
      <c r="F1148" s="7"/>
      <c r="G1148" s="31"/>
      <c r="H1148" s="43"/>
    </row>
    <row r="1149" spans="1:8" s="11" customFormat="1" ht="15" hidden="1" customHeight="1" outlineLevel="3" x14ac:dyDescent="0.2">
      <c r="A1149" s="2"/>
      <c r="B1149" s="1"/>
      <c r="C1149" s="27"/>
      <c r="D1149" s="6"/>
      <c r="E1149" s="7"/>
      <c r="F1149" s="7"/>
      <c r="G1149" s="31"/>
      <c r="H1149" s="43"/>
    </row>
    <row r="1150" spans="1:8" s="11" customFormat="1" ht="15" hidden="1" customHeight="1" outlineLevel="3" x14ac:dyDescent="0.2">
      <c r="A1150" s="2"/>
      <c r="B1150" s="1"/>
      <c r="C1150" s="27"/>
      <c r="D1150" s="6"/>
      <c r="E1150" s="7"/>
      <c r="F1150" s="7"/>
      <c r="G1150" s="31"/>
      <c r="H1150" s="43"/>
    </row>
    <row r="1151" spans="1:8" s="11" customFormat="1" ht="15" hidden="1" customHeight="1" outlineLevel="3" x14ac:dyDescent="0.2">
      <c r="A1151" s="2"/>
      <c r="B1151" s="1"/>
      <c r="C1151" s="27"/>
      <c r="D1151" s="6"/>
      <c r="E1151" s="7"/>
      <c r="F1151" s="7"/>
      <c r="G1151" s="31"/>
      <c r="H1151" s="43"/>
    </row>
    <row r="1152" spans="1:8" s="11" customFormat="1" ht="15" hidden="1" customHeight="1" outlineLevel="3" x14ac:dyDescent="0.2">
      <c r="A1152" s="2"/>
      <c r="B1152" s="1"/>
      <c r="C1152" s="27"/>
      <c r="D1152" s="6"/>
      <c r="E1152" s="7"/>
      <c r="F1152" s="7"/>
      <c r="G1152" s="31"/>
      <c r="H1152" s="43"/>
    </row>
    <row r="1153" spans="1:8" s="11" customFormat="1" ht="15" hidden="1" customHeight="1" outlineLevel="2" collapsed="1" x14ac:dyDescent="0.2">
      <c r="A1153" s="106">
        <f>A1148+0.01</f>
        <v>5.6199999999999974</v>
      </c>
      <c r="B1153" s="107"/>
      <c r="C1153" s="27"/>
      <c r="D1153" s="6"/>
      <c r="E1153" s="7"/>
      <c r="F1153" s="7"/>
      <c r="G1153" s="31"/>
      <c r="H1153" s="43"/>
    </row>
    <row r="1154" spans="1:8" s="11" customFormat="1" ht="15" hidden="1" customHeight="1" outlineLevel="3" x14ac:dyDescent="0.2">
      <c r="A1154" s="2"/>
      <c r="B1154" s="1"/>
      <c r="C1154" s="27"/>
      <c r="D1154" s="6"/>
      <c r="E1154" s="7"/>
      <c r="F1154" s="7"/>
      <c r="G1154" s="31"/>
      <c r="H1154" s="43"/>
    </row>
    <row r="1155" spans="1:8" s="11" customFormat="1" ht="15" hidden="1" customHeight="1" outlineLevel="3" x14ac:dyDescent="0.2">
      <c r="A1155" s="2"/>
      <c r="B1155" s="1"/>
      <c r="C1155" s="27"/>
      <c r="D1155" s="6"/>
      <c r="E1155" s="7"/>
      <c r="F1155" s="7"/>
      <c r="G1155" s="31"/>
      <c r="H1155" s="43"/>
    </row>
    <row r="1156" spans="1:8" s="11" customFormat="1" ht="15" hidden="1" customHeight="1" outlineLevel="3" x14ac:dyDescent="0.2">
      <c r="A1156" s="2"/>
      <c r="B1156" s="1"/>
      <c r="C1156" s="27"/>
      <c r="D1156" s="6"/>
      <c r="E1156" s="7"/>
      <c r="F1156" s="7"/>
      <c r="G1156" s="31"/>
      <c r="H1156" s="43"/>
    </row>
    <row r="1157" spans="1:8" s="11" customFormat="1" ht="15" hidden="1" customHeight="1" outlineLevel="3" x14ac:dyDescent="0.2">
      <c r="A1157" s="2"/>
      <c r="B1157" s="1"/>
      <c r="C1157" s="27"/>
      <c r="D1157" s="6"/>
      <c r="E1157" s="7"/>
      <c r="F1157" s="7"/>
      <c r="G1157" s="31"/>
      <c r="H1157" s="43"/>
    </row>
    <row r="1158" spans="1:8" s="11" customFormat="1" ht="15" hidden="1" customHeight="1" outlineLevel="2" collapsed="1" x14ac:dyDescent="0.2">
      <c r="A1158" s="106">
        <f>A1153+0.01</f>
        <v>5.6299999999999972</v>
      </c>
      <c r="B1158" s="107"/>
      <c r="C1158" s="27"/>
      <c r="D1158" s="6"/>
      <c r="E1158" s="7"/>
      <c r="F1158" s="7"/>
      <c r="G1158" s="31"/>
      <c r="H1158" s="43"/>
    </row>
    <row r="1159" spans="1:8" s="11" customFormat="1" ht="15" hidden="1" customHeight="1" outlineLevel="3" x14ac:dyDescent="0.2">
      <c r="A1159" s="2"/>
      <c r="B1159" s="1"/>
      <c r="C1159" s="27"/>
      <c r="D1159" s="6"/>
      <c r="E1159" s="7"/>
      <c r="F1159" s="7"/>
      <c r="G1159" s="31"/>
      <c r="H1159" s="43"/>
    </row>
    <row r="1160" spans="1:8" s="11" customFormat="1" ht="15" hidden="1" customHeight="1" outlineLevel="3" x14ac:dyDescent="0.2">
      <c r="A1160" s="2"/>
      <c r="B1160" s="1"/>
      <c r="C1160" s="27"/>
      <c r="D1160" s="6"/>
      <c r="E1160" s="7"/>
      <c r="F1160" s="7"/>
      <c r="G1160" s="31"/>
      <c r="H1160" s="43"/>
    </row>
    <row r="1161" spans="1:8" s="11" customFormat="1" ht="15" hidden="1" customHeight="1" outlineLevel="3" x14ac:dyDescent="0.2">
      <c r="A1161" s="2"/>
      <c r="B1161" s="1"/>
      <c r="C1161" s="27"/>
      <c r="D1161" s="6"/>
      <c r="E1161" s="7"/>
      <c r="F1161" s="7"/>
      <c r="G1161" s="31"/>
      <c r="H1161" s="43"/>
    </row>
    <row r="1162" spans="1:8" s="11" customFormat="1" ht="15" hidden="1" customHeight="1" outlineLevel="3" x14ac:dyDescent="0.2">
      <c r="A1162" s="2"/>
      <c r="B1162" s="1"/>
      <c r="C1162" s="27"/>
      <c r="D1162" s="6"/>
      <c r="E1162" s="7"/>
      <c r="F1162" s="7"/>
      <c r="G1162" s="31"/>
      <c r="H1162" s="43"/>
    </row>
    <row r="1163" spans="1:8" s="11" customFormat="1" ht="15" hidden="1" customHeight="1" outlineLevel="2" collapsed="1" x14ac:dyDescent="0.2">
      <c r="A1163" s="2">
        <f>A1158+0.01</f>
        <v>5.639999999999997</v>
      </c>
      <c r="B1163" s="1"/>
      <c r="C1163" s="27"/>
      <c r="D1163" s="6"/>
      <c r="E1163" s="7"/>
      <c r="F1163" s="7"/>
      <c r="G1163" s="31"/>
      <c r="H1163" s="43"/>
    </row>
    <row r="1164" spans="1:8" s="11" customFormat="1" ht="15" hidden="1" customHeight="1" outlineLevel="3" x14ac:dyDescent="0.2">
      <c r="A1164" s="2"/>
      <c r="B1164" s="1"/>
      <c r="C1164" s="27"/>
      <c r="D1164" s="6"/>
      <c r="E1164" s="7"/>
      <c r="F1164" s="7"/>
      <c r="G1164" s="31"/>
      <c r="H1164" s="43"/>
    </row>
    <row r="1165" spans="1:8" s="11" customFormat="1" ht="15" hidden="1" customHeight="1" outlineLevel="3" x14ac:dyDescent="0.2">
      <c r="A1165" s="2"/>
      <c r="B1165" s="1"/>
      <c r="C1165" s="27"/>
      <c r="D1165" s="6"/>
      <c r="E1165" s="7"/>
      <c r="F1165" s="7"/>
      <c r="G1165" s="31"/>
      <c r="H1165" s="43"/>
    </row>
    <row r="1166" spans="1:8" s="11" customFormat="1" ht="15" hidden="1" customHeight="1" outlineLevel="3" x14ac:dyDescent="0.2">
      <c r="A1166" s="2"/>
      <c r="B1166" s="1"/>
      <c r="C1166" s="27"/>
      <c r="D1166" s="6"/>
      <c r="E1166" s="7"/>
      <c r="F1166" s="7"/>
      <c r="G1166" s="31"/>
      <c r="H1166" s="43"/>
    </row>
    <row r="1167" spans="1:8" s="11" customFormat="1" ht="15" hidden="1" customHeight="1" outlineLevel="3" x14ac:dyDescent="0.2">
      <c r="A1167" s="2"/>
      <c r="B1167" s="1"/>
      <c r="C1167" s="27"/>
      <c r="D1167" s="6"/>
      <c r="E1167" s="7"/>
      <c r="F1167" s="7"/>
      <c r="G1167" s="31"/>
      <c r="H1167" s="43"/>
    </row>
    <row r="1168" spans="1:8" s="11" customFormat="1" ht="15" hidden="1" customHeight="1" outlineLevel="2" x14ac:dyDescent="0.2">
      <c r="A1168" s="106">
        <f>A1163+0.01</f>
        <v>5.6499999999999968</v>
      </c>
      <c r="B1168" s="107"/>
      <c r="C1168" s="27"/>
      <c r="D1168" s="6"/>
      <c r="E1168" s="7"/>
      <c r="F1168" s="30"/>
      <c r="G1168" s="31"/>
      <c r="H1168" s="43"/>
    </row>
    <row r="1169" spans="1:8" s="11" customFormat="1" ht="15" hidden="1" customHeight="1" outlineLevel="3" x14ac:dyDescent="0.2">
      <c r="A1169" s="2"/>
      <c r="B1169" s="1"/>
      <c r="C1169" s="27"/>
      <c r="D1169" s="6"/>
      <c r="E1169" s="7"/>
      <c r="F1169" s="7"/>
      <c r="G1169" s="31"/>
      <c r="H1169" s="43"/>
    </row>
    <row r="1170" spans="1:8" s="11" customFormat="1" ht="15" hidden="1" customHeight="1" outlineLevel="3" x14ac:dyDescent="0.2">
      <c r="A1170" s="2"/>
      <c r="B1170" s="1"/>
      <c r="C1170" s="27"/>
      <c r="D1170" s="6"/>
      <c r="E1170" s="7"/>
      <c r="F1170" s="7"/>
      <c r="G1170" s="31"/>
      <c r="H1170" s="43"/>
    </row>
    <row r="1171" spans="1:8" s="11" customFormat="1" ht="15" hidden="1" customHeight="1" outlineLevel="3" x14ac:dyDescent="0.2">
      <c r="A1171" s="2"/>
      <c r="B1171" s="1"/>
      <c r="C1171" s="27"/>
      <c r="D1171" s="6"/>
      <c r="E1171" s="7"/>
      <c r="F1171" s="7"/>
      <c r="G1171" s="31"/>
      <c r="H1171" s="43"/>
    </row>
    <row r="1172" spans="1:8" s="11" customFormat="1" ht="15" hidden="1" customHeight="1" outlineLevel="3" x14ac:dyDescent="0.2">
      <c r="A1172" s="2"/>
      <c r="B1172" s="1"/>
      <c r="C1172" s="27"/>
      <c r="D1172" s="6"/>
      <c r="E1172" s="7"/>
      <c r="F1172" s="7"/>
      <c r="G1172" s="31"/>
      <c r="H1172" s="43"/>
    </row>
    <row r="1173" spans="1:8" s="11" customFormat="1" ht="15" hidden="1" customHeight="1" outlineLevel="1" collapsed="1" x14ac:dyDescent="0.2">
      <c r="A1173" s="2">
        <f>A1147+0.1</f>
        <v>5.6999999999999975</v>
      </c>
      <c r="B1173" s="1"/>
      <c r="C1173" s="28"/>
      <c r="D1173" s="5"/>
      <c r="E1173" s="9"/>
      <c r="F1173" s="10"/>
      <c r="G1173" s="37"/>
      <c r="H1173" s="36"/>
    </row>
    <row r="1174" spans="1:8" s="11" customFormat="1" ht="15" hidden="1" customHeight="1" outlineLevel="2" collapsed="1" x14ac:dyDescent="0.2">
      <c r="A1174" s="106">
        <f>A1173+0.01</f>
        <v>5.7099999999999973</v>
      </c>
      <c r="B1174" s="107"/>
      <c r="C1174" s="27"/>
      <c r="D1174" s="6"/>
      <c r="E1174" s="7"/>
      <c r="F1174" s="7"/>
      <c r="G1174" s="31"/>
      <c r="H1174" s="43"/>
    </row>
    <row r="1175" spans="1:8" s="11" customFormat="1" ht="15" hidden="1" customHeight="1" outlineLevel="3" x14ac:dyDescent="0.2">
      <c r="A1175" s="2"/>
      <c r="B1175" s="1"/>
      <c r="C1175" s="27"/>
      <c r="D1175" s="6"/>
      <c r="E1175" s="7"/>
      <c r="F1175" s="7"/>
      <c r="G1175" s="31"/>
      <c r="H1175" s="43"/>
    </row>
    <row r="1176" spans="1:8" s="11" customFormat="1" ht="15" hidden="1" customHeight="1" outlineLevel="3" x14ac:dyDescent="0.2">
      <c r="A1176" s="2"/>
      <c r="B1176" s="1"/>
      <c r="C1176" s="27"/>
      <c r="D1176" s="6"/>
      <c r="E1176" s="7"/>
      <c r="F1176" s="7"/>
      <c r="G1176" s="31"/>
      <c r="H1176" s="43"/>
    </row>
    <row r="1177" spans="1:8" s="11" customFormat="1" ht="15" hidden="1" customHeight="1" outlineLevel="3" x14ac:dyDescent="0.2">
      <c r="A1177" s="2"/>
      <c r="B1177" s="1"/>
      <c r="C1177" s="27"/>
      <c r="D1177" s="6"/>
      <c r="E1177" s="7"/>
      <c r="F1177" s="7"/>
      <c r="G1177" s="31"/>
      <c r="H1177" s="43"/>
    </row>
    <row r="1178" spans="1:8" s="11" customFormat="1" ht="15" hidden="1" customHeight="1" outlineLevel="3" x14ac:dyDescent="0.2">
      <c r="A1178" s="2"/>
      <c r="B1178" s="1"/>
      <c r="C1178" s="27"/>
      <c r="D1178" s="6"/>
      <c r="E1178" s="7"/>
      <c r="F1178" s="7"/>
      <c r="G1178" s="31"/>
      <c r="H1178" s="43"/>
    </row>
    <row r="1179" spans="1:8" s="11" customFormat="1" ht="15" hidden="1" customHeight="1" outlineLevel="2" collapsed="1" x14ac:dyDescent="0.2">
      <c r="A1179" s="106">
        <f>A1174+0.01</f>
        <v>5.7199999999999971</v>
      </c>
      <c r="B1179" s="107"/>
      <c r="C1179" s="27"/>
      <c r="D1179" s="6"/>
      <c r="E1179" s="7"/>
      <c r="F1179" s="7"/>
      <c r="G1179" s="31"/>
      <c r="H1179" s="43"/>
    </row>
    <row r="1180" spans="1:8" s="11" customFormat="1" ht="15" hidden="1" customHeight="1" outlineLevel="3" x14ac:dyDescent="0.2">
      <c r="A1180" s="2"/>
      <c r="B1180" s="1"/>
      <c r="C1180" s="27"/>
      <c r="D1180" s="6"/>
      <c r="E1180" s="7"/>
      <c r="F1180" s="7"/>
      <c r="G1180" s="31"/>
      <c r="H1180" s="43"/>
    </row>
    <row r="1181" spans="1:8" s="11" customFormat="1" ht="15" hidden="1" customHeight="1" outlineLevel="3" x14ac:dyDescent="0.2">
      <c r="A1181" s="2"/>
      <c r="B1181" s="1"/>
      <c r="C1181" s="27"/>
      <c r="D1181" s="6"/>
      <c r="E1181" s="7"/>
      <c r="F1181" s="7"/>
      <c r="G1181" s="31"/>
      <c r="H1181" s="43"/>
    </row>
    <row r="1182" spans="1:8" s="11" customFormat="1" ht="15" hidden="1" customHeight="1" outlineLevel="3" x14ac:dyDescent="0.2">
      <c r="A1182" s="2"/>
      <c r="B1182" s="1"/>
      <c r="C1182" s="27"/>
      <c r="D1182" s="6"/>
      <c r="E1182" s="7"/>
      <c r="F1182" s="7"/>
      <c r="G1182" s="31"/>
      <c r="H1182" s="43"/>
    </row>
    <row r="1183" spans="1:8" s="11" customFormat="1" ht="15" hidden="1" customHeight="1" outlineLevel="3" x14ac:dyDescent="0.2">
      <c r="A1183" s="2"/>
      <c r="B1183" s="1"/>
      <c r="C1183" s="27"/>
      <c r="D1183" s="6"/>
      <c r="E1183" s="7"/>
      <c r="F1183" s="7"/>
      <c r="G1183" s="31"/>
      <c r="H1183" s="43"/>
    </row>
    <row r="1184" spans="1:8" s="11" customFormat="1" ht="15" hidden="1" customHeight="1" outlineLevel="2" collapsed="1" x14ac:dyDescent="0.2">
      <c r="A1184" s="106">
        <f>A1179+0.01</f>
        <v>5.7299999999999969</v>
      </c>
      <c r="B1184" s="107"/>
      <c r="C1184" s="27"/>
      <c r="D1184" s="6"/>
      <c r="E1184" s="7"/>
      <c r="F1184" s="7"/>
      <c r="G1184" s="31"/>
      <c r="H1184" s="43"/>
    </row>
    <row r="1185" spans="1:8" s="11" customFormat="1" ht="15" hidden="1" customHeight="1" outlineLevel="3" x14ac:dyDescent="0.2">
      <c r="A1185" s="2"/>
      <c r="B1185" s="1"/>
      <c r="C1185" s="27"/>
      <c r="D1185" s="6"/>
      <c r="E1185" s="7"/>
      <c r="F1185" s="7"/>
      <c r="G1185" s="31"/>
      <c r="H1185" s="43"/>
    </row>
    <row r="1186" spans="1:8" s="11" customFormat="1" ht="15" hidden="1" customHeight="1" outlineLevel="3" x14ac:dyDescent="0.2">
      <c r="A1186" s="2"/>
      <c r="B1186" s="1"/>
      <c r="C1186" s="27"/>
      <c r="D1186" s="6"/>
      <c r="E1186" s="7"/>
      <c r="F1186" s="7"/>
      <c r="G1186" s="31"/>
      <c r="H1186" s="43"/>
    </row>
    <row r="1187" spans="1:8" s="11" customFormat="1" ht="15" hidden="1" customHeight="1" outlineLevel="3" x14ac:dyDescent="0.2">
      <c r="A1187" s="2"/>
      <c r="B1187" s="1"/>
      <c r="C1187" s="27"/>
      <c r="D1187" s="6"/>
      <c r="E1187" s="7"/>
      <c r="F1187" s="7"/>
      <c r="G1187" s="31"/>
      <c r="H1187" s="43"/>
    </row>
    <row r="1188" spans="1:8" s="11" customFormat="1" ht="15" hidden="1" customHeight="1" outlineLevel="3" x14ac:dyDescent="0.2">
      <c r="A1188" s="2"/>
      <c r="B1188" s="1"/>
      <c r="C1188" s="27"/>
      <c r="D1188" s="6"/>
      <c r="E1188" s="7"/>
      <c r="F1188" s="7"/>
      <c r="G1188" s="31"/>
      <c r="H1188" s="43"/>
    </row>
    <row r="1189" spans="1:8" s="11" customFormat="1" ht="15" hidden="1" customHeight="1" outlineLevel="2" collapsed="1" x14ac:dyDescent="0.2">
      <c r="A1189" s="2">
        <f>A1184+0.01</f>
        <v>5.7399999999999967</v>
      </c>
      <c r="B1189" s="1"/>
      <c r="C1189" s="27"/>
      <c r="D1189" s="6"/>
      <c r="E1189" s="7"/>
      <c r="F1189" s="7"/>
      <c r="G1189" s="31"/>
      <c r="H1189" s="43"/>
    </row>
    <row r="1190" spans="1:8" s="11" customFormat="1" ht="15" hidden="1" customHeight="1" outlineLevel="3" x14ac:dyDescent="0.2">
      <c r="A1190" s="2"/>
      <c r="B1190" s="1"/>
      <c r="C1190" s="27"/>
      <c r="D1190" s="6"/>
      <c r="E1190" s="7"/>
      <c r="F1190" s="7"/>
      <c r="G1190" s="31"/>
      <c r="H1190" s="43"/>
    </row>
    <row r="1191" spans="1:8" s="11" customFormat="1" ht="15" hidden="1" customHeight="1" outlineLevel="3" x14ac:dyDescent="0.2">
      <c r="A1191" s="2"/>
      <c r="B1191" s="1"/>
      <c r="C1191" s="27"/>
      <c r="D1191" s="6"/>
      <c r="E1191" s="7"/>
      <c r="F1191" s="7"/>
      <c r="G1191" s="31"/>
      <c r="H1191" s="43"/>
    </row>
    <row r="1192" spans="1:8" s="11" customFormat="1" ht="15" hidden="1" customHeight="1" outlineLevel="3" x14ac:dyDescent="0.2">
      <c r="A1192" s="2"/>
      <c r="B1192" s="1"/>
      <c r="C1192" s="27"/>
      <c r="D1192" s="6"/>
      <c r="E1192" s="7"/>
      <c r="F1192" s="7"/>
      <c r="G1192" s="31"/>
      <c r="H1192" s="43"/>
    </row>
    <row r="1193" spans="1:8" s="11" customFormat="1" ht="15" hidden="1" customHeight="1" outlineLevel="3" x14ac:dyDescent="0.2">
      <c r="A1193" s="2"/>
      <c r="B1193" s="1"/>
      <c r="C1193" s="27"/>
      <c r="D1193" s="6"/>
      <c r="E1193" s="7"/>
      <c r="F1193" s="7"/>
      <c r="G1193" s="31"/>
      <c r="H1193" s="43"/>
    </row>
    <row r="1194" spans="1:8" s="11" customFormat="1" ht="15" hidden="1" customHeight="1" outlineLevel="2" x14ac:dyDescent="0.2">
      <c r="A1194" s="106">
        <f>A1189+0.01</f>
        <v>5.7499999999999964</v>
      </c>
      <c r="B1194" s="107"/>
      <c r="C1194" s="27"/>
      <c r="D1194" s="6"/>
      <c r="E1194" s="7"/>
      <c r="F1194" s="30"/>
      <c r="G1194" s="31"/>
      <c r="H1194" s="43"/>
    </row>
    <row r="1195" spans="1:8" s="11" customFormat="1" ht="15" hidden="1" customHeight="1" outlineLevel="3" x14ac:dyDescent="0.2">
      <c r="A1195" s="2"/>
      <c r="B1195" s="1"/>
      <c r="C1195" s="27"/>
      <c r="D1195" s="6"/>
      <c r="E1195" s="7"/>
      <c r="F1195" s="7"/>
      <c r="G1195" s="31"/>
      <c r="H1195" s="43"/>
    </row>
    <row r="1196" spans="1:8" s="11" customFormat="1" ht="15" hidden="1" customHeight="1" outlineLevel="3" x14ac:dyDescent="0.2">
      <c r="A1196" s="2"/>
      <c r="B1196" s="1"/>
      <c r="C1196" s="27"/>
      <c r="D1196" s="6"/>
      <c r="E1196" s="7"/>
      <c r="F1196" s="7"/>
      <c r="G1196" s="31"/>
      <c r="H1196" s="43"/>
    </row>
    <row r="1197" spans="1:8" s="11" customFormat="1" ht="15" hidden="1" customHeight="1" outlineLevel="3" x14ac:dyDescent="0.2">
      <c r="A1197" s="2"/>
      <c r="B1197" s="1"/>
      <c r="C1197" s="27"/>
      <c r="D1197" s="6"/>
      <c r="E1197" s="7"/>
      <c r="F1197" s="7"/>
      <c r="G1197" s="31"/>
      <c r="H1197" s="43"/>
    </row>
    <row r="1198" spans="1:8" s="11" customFormat="1" ht="15" hidden="1" customHeight="1" outlineLevel="3" x14ac:dyDescent="0.2">
      <c r="A1198" s="2"/>
      <c r="B1198" s="1"/>
      <c r="C1198" s="27"/>
      <c r="D1198" s="6"/>
      <c r="E1198" s="7"/>
      <c r="F1198" s="7"/>
      <c r="G1198" s="31"/>
      <c r="H1198" s="43"/>
    </row>
    <row r="1199" spans="1:8" s="11" customFormat="1" ht="15" hidden="1" customHeight="1" outlineLevel="1" collapsed="1" x14ac:dyDescent="0.2">
      <c r="A1199" s="2">
        <f>A1173+0.1</f>
        <v>5.7999999999999972</v>
      </c>
      <c r="B1199" s="1"/>
      <c r="C1199" s="28"/>
      <c r="D1199" s="5"/>
      <c r="E1199" s="9"/>
      <c r="F1199" s="10"/>
      <c r="G1199" s="37"/>
      <c r="H1199" s="36"/>
    </row>
    <row r="1200" spans="1:8" s="11" customFormat="1" ht="15" hidden="1" customHeight="1" outlineLevel="2" collapsed="1" x14ac:dyDescent="0.2">
      <c r="A1200" s="106">
        <f>A1199+0.01</f>
        <v>5.8099999999999969</v>
      </c>
      <c r="B1200" s="107"/>
      <c r="C1200" s="27"/>
      <c r="D1200" s="6"/>
      <c r="E1200" s="7"/>
      <c r="F1200" s="7"/>
      <c r="G1200" s="31"/>
      <c r="H1200" s="43"/>
    </row>
    <row r="1201" spans="1:8" s="11" customFormat="1" ht="15" hidden="1" customHeight="1" outlineLevel="3" x14ac:dyDescent="0.2">
      <c r="A1201" s="2"/>
      <c r="B1201" s="1"/>
      <c r="C1201" s="27"/>
      <c r="D1201" s="6"/>
      <c r="E1201" s="7"/>
      <c r="F1201" s="7"/>
      <c r="G1201" s="31"/>
      <c r="H1201" s="43"/>
    </row>
    <row r="1202" spans="1:8" s="11" customFormat="1" ht="15" hidden="1" customHeight="1" outlineLevel="3" x14ac:dyDescent="0.2">
      <c r="A1202" s="2"/>
      <c r="B1202" s="1"/>
      <c r="C1202" s="27"/>
      <c r="D1202" s="6"/>
      <c r="E1202" s="7"/>
      <c r="F1202" s="7"/>
      <c r="G1202" s="31"/>
      <c r="H1202" s="43"/>
    </row>
    <row r="1203" spans="1:8" s="11" customFormat="1" ht="15" hidden="1" customHeight="1" outlineLevel="3" x14ac:dyDescent="0.2">
      <c r="A1203" s="2"/>
      <c r="B1203" s="1"/>
      <c r="C1203" s="27"/>
      <c r="D1203" s="6"/>
      <c r="E1203" s="7"/>
      <c r="F1203" s="7"/>
      <c r="G1203" s="31"/>
      <c r="H1203" s="43"/>
    </row>
    <row r="1204" spans="1:8" s="11" customFormat="1" ht="15" hidden="1" customHeight="1" outlineLevel="3" x14ac:dyDescent="0.2">
      <c r="A1204" s="2"/>
      <c r="B1204" s="1"/>
      <c r="C1204" s="27"/>
      <c r="D1204" s="6"/>
      <c r="E1204" s="7"/>
      <c r="F1204" s="7"/>
      <c r="G1204" s="31"/>
      <c r="H1204" s="43"/>
    </row>
    <row r="1205" spans="1:8" s="11" customFormat="1" ht="15" hidden="1" customHeight="1" outlineLevel="2" collapsed="1" x14ac:dyDescent="0.2">
      <c r="A1205" s="106">
        <f>A1200+0.01</f>
        <v>5.8199999999999967</v>
      </c>
      <c r="B1205" s="107"/>
      <c r="C1205" s="27"/>
      <c r="D1205" s="6"/>
      <c r="E1205" s="7"/>
      <c r="F1205" s="7"/>
      <c r="G1205" s="31"/>
      <c r="H1205" s="43"/>
    </row>
    <row r="1206" spans="1:8" s="11" customFormat="1" ht="15" hidden="1" customHeight="1" outlineLevel="3" x14ac:dyDescent="0.2">
      <c r="A1206" s="2"/>
      <c r="B1206" s="1"/>
      <c r="C1206" s="27"/>
      <c r="D1206" s="6"/>
      <c r="E1206" s="7"/>
      <c r="F1206" s="7"/>
      <c r="G1206" s="31"/>
      <c r="H1206" s="43"/>
    </row>
    <row r="1207" spans="1:8" s="11" customFormat="1" ht="15" hidden="1" customHeight="1" outlineLevel="3" x14ac:dyDescent="0.2">
      <c r="A1207" s="2"/>
      <c r="B1207" s="1"/>
      <c r="C1207" s="27"/>
      <c r="D1207" s="6"/>
      <c r="E1207" s="7"/>
      <c r="F1207" s="7"/>
      <c r="G1207" s="31"/>
      <c r="H1207" s="43"/>
    </row>
    <row r="1208" spans="1:8" s="11" customFormat="1" ht="15" hidden="1" customHeight="1" outlineLevel="3" x14ac:dyDescent="0.2">
      <c r="A1208" s="2"/>
      <c r="B1208" s="1"/>
      <c r="C1208" s="27"/>
      <c r="D1208" s="6"/>
      <c r="E1208" s="7"/>
      <c r="F1208" s="7"/>
      <c r="G1208" s="31"/>
      <c r="H1208" s="43"/>
    </row>
    <row r="1209" spans="1:8" s="11" customFormat="1" ht="15" hidden="1" customHeight="1" outlineLevel="3" x14ac:dyDescent="0.2">
      <c r="A1209" s="2"/>
      <c r="B1209" s="1"/>
      <c r="C1209" s="27"/>
      <c r="D1209" s="6"/>
      <c r="E1209" s="7"/>
      <c r="F1209" s="7"/>
      <c r="G1209" s="31"/>
      <c r="H1209" s="43"/>
    </row>
    <row r="1210" spans="1:8" s="11" customFormat="1" ht="15" hidden="1" customHeight="1" outlineLevel="2" collapsed="1" x14ac:dyDescent="0.2">
      <c r="A1210" s="106">
        <f>A1205+0.01</f>
        <v>5.8299999999999965</v>
      </c>
      <c r="B1210" s="107"/>
      <c r="C1210" s="27"/>
      <c r="D1210" s="6"/>
      <c r="E1210" s="7"/>
      <c r="F1210" s="7"/>
      <c r="G1210" s="31"/>
      <c r="H1210" s="43"/>
    </row>
    <row r="1211" spans="1:8" s="11" customFormat="1" ht="15" hidden="1" customHeight="1" outlineLevel="3" x14ac:dyDescent="0.2">
      <c r="A1211" s="2"/>
      <c r="B1211" s="1"/>
      <c r="C1211" s="27"/>
      <c r="D1211" s="6"/>
      <c r="E1211" s="7"/>
      <c r="F1211" s="7"/>
      <c r="G1211" s="31"/>
      <c r="H1211" s="43"/>
    </row>
    <row r="1212" spans="1:8" s="11" customFormat="1" ht="15" hidden="1" customHeight="1" outlineLevel="3" x14ac:dyDescent="0.2">
      <c r="A1212" s="2"/>
      <c r="B1212" s="1"/>
      <c r="C1212" s="27"/>
      <c r="D1212" s="6"/>
      <c r="E1212" s="7"/>
      <c r="F1212" s="7"/>
      <c r="G1212" s="31"/>
      <c r="H1212" s="43"/>
    </row>
    <row r="1213" spans="1:8" s="11" customFormat="1" ht="15" hidden="1" customHeight="1" outlineLevel="3" x14ac:dyDescent="0.2">
      <c r="A1213" s="2"/>
      <c r="B1213" s="1"/>
      <c r="C1213" s="27"/>
      <c r="D1213" s="6"/>
      <c r="E1213" s="7"/>
      <c r="F1213" s="7"/>
      <c r="G1213" s="31"/>
      <c r="H1213" s="43"/>
    </row>
    <row r="1214" spans="1:8" s="11" customFormat="1" ht="15" hidden="1" customHeight="1" outlineLevel="3" x14ac:dyDescent="0.2">
      <c r="A1214" s="2"/>
      <c r="B1214" s="1"/>
      <c r="C1214" s="27"/>
      <c r="D1214" s="6"/>
      <c r="E1214" s="7"/>
      <c r="F1214" s="7"/>
      <c r="G1214" s="31"/>
      <c r="H1214" s="43"/>
    </row>
    <row r="1215" spans="1:8" s="11" customFormat="1" ht="15" hidden="1" customHeight="1" outlineLevel="2" collapsed="1" x14ac:dyDescent="0.2">
      <c r="A1215" s="2">
        <f>A1210+0.01</f>
        <v>5.8399999999999963</v>
      </c>
      <c r="B1215" s="1"/>
      <c r="C1215" s="27"/>
      <c r="D1215" s="6"/>
      <c r="E1215" s="7"/>
      <c r="F1215" s="7"/>
      <c r="G1215" s="31"/>
      <c r="H1215" s="43"/>
    </row>
    <row r="1216" spans="1:8" s="11" customFormat="1" ht="15" hidden="1" customHeight="1" outlineLevel="3" x14ac:dyDescent="0.2">
      <c r="A1216" s="2"/>
      <c r="B1216" s="1"/>
      <c r="C1216" s="27"/>
      <c r="D1216" s="6"/>
      <c r="E1216" s="7"/>
      <c r="F1216" s="7"/>
      <c r="G1216" s="31"/>
      <c r="H1216" s="43"/>
    </row>
    <row r="1217" spans="1:8" s="11" customFormat="1" ht="15" hidden="1" customHeight="1" outlineLevel="3" x14ac:dyDescent="0.2">
      <c r="A1217" s="2"/>
      <c r="B1217" s="1"/>
      <c r="C1217" s="27"/>
      <c r="D1217" s="6"/>
      <c r="E1217" s="7"/>
      <c r="F1217" s="7"/>
      <c r="G1217" s="31"/>
      <c r="H1217" s="43"/>
    </row>
    <row r="1218" spans="1:8" s="11" customFormat="1" ht="15" hidden="1" customHeight="1" outlineLevel="3" x14ac:dyDescent="0.2">
      <c r="A1218" s="2"/>
      <c r="B1218" s="1"/>
      <c r="C1218" s="27"/>
      <c r="D1218" s="6"/>
      <c r="E1218" s="7"/>
      <c r="F1218" s="7"/>
      <c r="G1218" s="31"/>
      <c r="H1218" s="43"/>
    </row>
    <row r="1219" spans="1:8" s="11" customFormat="1" ht="15" hidden="1" customHeight="1" outlineLevel="3" x14ac:dyDescent="0.2">
      <c r="A1219" s="2"/>
      <c r="B1219" s="1"/>
      <c r="C1219" s="27"/>
      <c r="D1219" s="6"/>
      <c r="E1219" s="7"/>
      <c r="F1219" s="7"/>
      <c r="G1219" s="31"/>
      <c r="H1219" s="43"/>
    </row>
    <row r="1220" spans="1:8" s="11" customFormat="1" ht="15" hidden="1" customHeight="1" outlineLevel="2" x14ac:dyDescent="0.2">
      <c r="A1220" s="106">
        <f>A1215+0.01</f>
        <v>5.8499999999999961</v>
      </c>
      <c r="B1220" s="107"/>
      <c r="C1220" s="27"/>
      <c r="D1220" s="6"/>
      <c r="E1220" s="7"/>
      <c r="F1220" s="30"/>
      <c r="G1220" s="31"/>
      <c r="H1220" s="43"/>
    </row>
    <row r="1221" spans="1:8" s="11" customFormat="1" ht="15" hidden="1" customHeight="1" outlineLevel="3" x14ac:dyDescent="0.2">
      <c r="A1221" s="2"/>
      <c r="B1221" s="1"/>
      <c r="C1221" s="27"/>
      <c r="D1221" s="6"/>
      <c r="E1221" s="7"/>
      <c r="F1221" s="7"/>
      <c r="G1221" s="31"/>
      <c r="H1221" s="43"/>
    </row>
    <row r="1222" spans="1:8" s="11" customFormat="1" ht="15" hidden="1" customHeight="1" outlineLevel="3" x14ac:dyDescent="0.2">
      <c r="A1222" s="2"/>
      <c r="B1222" s="1"/>
      <c r="C1222" s="27"/>
      <c r="D1222" s="6"/>
      <c r="E1222" s="7"/>
      <c r="F1222" s="7"/>
      <c r="G1222" s="31"/>
      <c r="H1222" s="43"/>
    </row>
    <row r="1223" spans="1:8" s="11" customFormat="1" ht="15" hidden="1" customHeight="1" outlineLevel="3" x14ac:dyDescent="0.2">
      <c r="A1223" s="2"/>
      <c r="B1223" s="1"/>
      <c r="C1223" s="27"/>
      <c r="D1223" s="6"/>
      <c r="E1223" s="7"/>
      <c r="F1223" s="7"/>
      <c r="G1223" s="31"/>
      <c r="H1223" s="43"/>
    </row>
    <row r="1224" spans="1:8" s="11" customFormat="1" ht="15" hidden="1" customHeight="1" outlineLevel="3" x14ac:dyDescent="0.2">
      <c r="A1224" s="2"/>
      <c r="B1224" s="1"/>
      <c r="C1224" s="27"/>
      <c r="D1224" s="6"/>
      <c r="E1224" s="7"/>
      <c r="F1224" s="7"/>
      <c r="G1224" s="31"/>
      <c r="H1224" s="43"/>
    </row>
    <row r="1225" spans="1:8" s="11" customFormat="1" ht="15" hidden="1" customHeight="1" outlineLevel="1" collapsed="1" x14ac:dyDescent="0.2">
      <c r="A1225" s="2">
        <f>A1199+0.1</f>
        <v>5.8999999999999968</v>
      </c>
      <c r="B1225" s="1"/>
      <c r="C1225" s="28"/>
      <c r="D1225" s="5"/>
      <c r="E1225" s="9"/>
      <c r="F1225" s="10"/>
      <c r="G1225" s="37"/>
      <c r="H1225" s="36"/>
    </row>
    <row r="1226" spans="1:8" s="11" customFormat="1" ht="15" hidden="1" customHeight="1" outlineLevel="2" collapsed="1" x14ac:dyDescent="0.2">
      <c r="A1226" s="106">
        <f>A1225+0.01</f>
        <v>5.9099999999999966</v>
      </c>
      <c r="B1226" s="107"/>
      <c r="C1226" s="27"/>
      <c r="D1226" s="6"/>
      <c r="E1226" s="7"/>
      <c r="F1226" s="7"/>
      <c r="G1226" s="31"/>
      <c r="H1226" s="43"/>
    </row>
    <row r="1227" spans="1:8" s="11" customFormat="1" ht="15" hidden="1" customHeight="1" outlineLevel="3" x14ac:dyDescent="0.2">
      <c r="A1227" s="2"/>
      <c r="B1227" s="1"/>
      <c r="C1227" s="27"/>
      <c r="D1227" s="6"/>
      <c r="E1227" s="7"/>
      <c r="F1227" s="7"/>
      <c r="G1227" s="31"/>
      <c r="H1227" s="43"/>
    </row>
    <row r="1228" spans="1:8" s="11" customFormat="1" ht="15" hidden="1" customHeight="1" outlineLevel="3" x14ac:dyDescent="0.2">
      <c r="A1228" s="2"/>
      <c r="B1228" s="1"/>
      <c r="C1228" s="27"/>
      <c r="D1228" s="6"/>
      <c r="E1228" s="7"/>
      <c r="F1228" s="7"/>
      <c r="G1228" s="31"/>
      <c r="H1228" s="43"/>
    </row>
    <row r="1229" spans="1:8" s="11" customFormat="1" ht="15" hidden="1" customHeight="1" outlineLevel="3" x14ac:dyDescent="0.2">
      <c r="A1229" s="2"/>
      <c r="B1229" s="1"/>
      <c r="C1229" s="27"/>
      <c r="D1229" s="6"/>
      <c r="E1229" s="7"/>
      <c r="F1229" s="7"/>
      <c r="G1229" s="31"/>
      <c r="H1229" s="43"/>
    </row>
    <row r="1230" spans="1:8" s="11" customFormat="1" ht="15" hidden="1" customHeight="1" outlineLevel="3" x14ac:dyDescent="0.2">
      <c r="A1230" s="2"/>
      <c r="B1230" s="1"/>
      <c r="C1230" s="27"/>
      <c r="D1230" s="6"/>
      <c r="E1230" s="7"/>
      <c r="F1230" s="7"/>
      <c r="G1230" s="31"/>
      <c r="H1230" s="43"/>
    </row>
    <row r="1231" spans="1:8" s="11" customFormat="1" ht="15" hidden="1" customHeight="1" outlineLevel="2" collapsed="1" x14ac:dyDescent="0.2">
      <c r="A1231" s="106">
        <f>A1226+0.01</f>
        <v>5.9199999999999964</v>
      </c>
      <c r="B1231" s="107"/>
      <c r="C1231" s="27"/>
      <c r="D1231" s="6"/>
      <c r="E1231" s="7"/>
      <c r="F1231" s="7"/>
      <c r="G1231" s="31"/>
      <c r="H1231" s="43"/>
    </row>
    <row r="1232" spans="1:8" s="11" customFormat="1" ht="15" hidden="1" customHeight="1" outlineLevel="3" x14ac:dyDescent="0.2">
      <c r="A1232" s="2"/>
      <c r="B1232" s="1"/>
      <c r="C1232" s="27"/>
      <c r="D1232" s="6"/>
      <c r="E1232" s="7"/>
      <c r="F1232" s="7"/>
      <c r="G1232" s="31"/>
      <c r="H1232" s="43"/>
    </row>
    <row r="1233" spans="1:8" s="11" customFormat="1" ht="15" hidden="1" customHeight="1" outlineLevel="3" x14ac:dyDescent="0.2">
      <c r="A1233" s="2"/>
      <c r="B1233" s="1"/>
      <c r="C1233" s="27"/>
      <c r="D1233" s="6"/>
      <c r="E1233" s="7"/>
      <c r="F1233" s="7"/>
      <c r="G1233" s="31"/>
      <c r="H1233" s="43"/>
    </row>
    <row r="1234" spans="1:8" s="11" customFormat="1" ht="15" hidden="1" customHeight="1" outlineLevel="3" x14ac:dyDescent="0.2">
      <c r="A1234" s="2"/>
      <c r="B1234" s="1"/>
      <c r="C1234" s="27"/>
      <c r="D1234" s="6"/>
      <c r="E1234" s="7"/>
      <c r="F1234" s="7"/>
      <c r="G1234" s="31"/>
      <c r="H1234" s="43"/>
    </row>
    <row r="1235" spans="1:8" s="11" customFormat="1" ht="15" hidden="1" customHeight="1" outlineLevel="3" x14ac:dyDescent="0.2">
      <c r="A1235" s="2"/>
      <c r="B1235" s="1"/>
      <c r="C1235" s="27"/>
      <c r="D1235" s="6"/>
      <c r="E1235" s="7"/>
      <c r="F1235" s="7"/>
      <c r="G1235" s="31"/>
      <c r="H1235" s="43"/>
    </row>
    <row r="1236" spans="1:8" s="11" customFormat="1" ht="15" hidden="1" customHeight="1" outlineLevel="2" collapsed="1" x14ac:dyDescent="0.2">
      <c r="A1236" s="106">
        <f>A1231+0.01</f>
        <v>5.9299999999999962</v>
      </c>
      <c r="B1236" s="107"/>
      <c r="C1236" s="27"/>
      <c r="D1236" s="6"/>
      <c r="E1236" s="7"/>
      <c r="F1236" s="7"/>
      <c r="G1236" s="31"/>
      <c r="H1236" s="43"/>
    </row>
    <row r="1237" spans="1:8" s="11" customFormat="1" ht="15" hidden="1" customHeight="1" outlineLevel="3" x14ac:dyDescent="0.2">
      <c r="A1237" s="2"/>
      <c r="B1237" s="1"/>
      <c r="C1237" s="27"/>
      <c r="D1237" s="6"/>
      <c r="E1237" s="7"/>
      <c r="F1237" s="7"/>
      <c r="G1237" s="31"/>
      <c r="H1237" s="43"/>
    </row>
    <row r="1238" spans="1:8" s="11" customFormat="1" ht="15" hidden="1" customHeight="1" outlineLevel="3" x14ac:dyDescent="0.2">
      <c r="A1238" s="2"/>
      <c r="B1238" s="1"/>
      <c r="C1238" s="27"/>
      <c r="D1238" s="6"/>
      <c r="E1238" s="7"/>
      <c r="F1238" s="7"/>
      <c r="G1238" s="31"/>
      <c r="H1238" s="43"/>
    </row>
    <row r="1239" spans="1:8" s="11" customFormat="1" ht="15" hidden="1" customHeight="1" outlineLevel="3" x14ac:dyDescent="0.2">
      <c r="A1239" s="2"/>
      <c r="B1239" s="1"/>
      <c r="C1239" s="27"/>
      <c r="D1239" s="6"/>
      <c r="E1239" s="7"/>
      <c r="F1239" s="7"/>
      <c r="G1239" s="31"/>
      <c r="H1239" s="43"/>
    </row>
    <row r="1240" spans="1:8" s="11" customFormat="1" ht="15" hidden="1" customHeight="1" outlineLevel="3" x14ac:dyDescent="0.2">
      <c r="A1240" s="2"/>
      <c r="B1240" s="1"/>
      <c r="C1240" s="27"/>
      <c r="D1240" s="6"/>
      <c r="E1240" s="7"/>
      <c r="F1240" s="7"/>
      <c r="G1240" s="31"/>
      <c r="H1240" s="43"/>
    </row>
    <row r="1241" spans="1:8" s="11" customFormat="1" ht="15" hidden="1" customHeight="1" outlineLevel="2" collapsed="1" x14ac:dyDescent="0.2">
      <c r="A1241" s="2">
        <f>A1236+0.01</f>
        <v>5.9399999999999959</v>
      </c>
      <c r="B1241" s="1"/>
      <c r="C1241" s="27"/>
      <c r="D1241" s="6"/>
      <c r="E1241" s="7"/>
      <c r="F1241" s="7"/>
      <c r="G1241" s="31"/>
      <c r="H1241" s="43"/>
    </row>
    <row r="1242" spans="1:8" s="11" customFormat="1" ht="15" hidden="1" customHeight="1" outlineLevel="3" x14ac:dyDescent="0.2">
      <c r="A1242" s="2"/>
      <c r="B1242" s="1"/>
      <c r="C1242" s="27"/>
      <c r="D1242" s="6"/>
      <c r="E1242" s="7"/>
      <c r="F1242" s="7"/>
      <c r="G1242" s="31"/>
      <c r="H1242" s="43"/>
    </row>
    <row r="1243" spans="1:8" s="11" customFormat="1" ht="15" hidden="1" customHeight="1" outlineLevel="3" x14ac:dyDescent="0.2">
      <c r="A1243" s="2"/>
      <c r="B1243" s="1"/>
      <c r="C1243" s="27"/>
      <c r="D1243" s="6"/>
      <c r="E1243" s="7"/>
      <c r="F1243" s="7"/>
      <c r="G1243" s="31"/>
      <c r="H1243" s="43"/>
    </row>
    <row r="1244" spans="1:8" s="11" customFormat="1" ht="15" hidden="1" customHeight="1" outlineLevel="3" x14ac:dyDescent="0.2">
      <c r="A1244" s="2"/>
      <c r="B1244" s="1"/>
      <c r="C1244" s="27"/>
      <c r="D1244" s="6"/>
      <c r="E1244" s="7"/>
      <c r="F1244" s="7"/>
      <c r="G1244" s="31"/>
      <c r="H1244" s="43"/>
    </row>
    <row r="1245" spans="1:8" s="11" customFormat="1" ht="15" hidden="1" customHeight="1" outlineLevel="3" x14ac:dyDescent="0.2">
      <c r="A1245" s="2"/>
      <c r="B1245" s="1"/>
      <c r="C1245" s="27"/>
      <c r="D1245" s="6"/>
      <c r="E1245" s="7"/>
      <c r="F1245" s="7"/>
      <c r="G1245" s="31"/>
      <c r="H1245" s="43"/>
    </row>
    <row r="1246" spans="1:8" s="11" customFormat="1" ht="15" hidden="1" customHeight="1" outlineLevel="2" collapsed="1" x14ac:dyDescent="0.2">
      <c r="A1246" s="106">
        <f>A1241+0.01</f>
        <v>5.9499999999999957</v>
      </c>
      <c r="B1246" s="107"/>
      <c r="C1246" s="27"/>
      <c r="D1246" s="6"/>
      <c r="E1246" s="7"/>
      <c r="F1246" s="30"/>
      <c r="G1246" s="31"/>
      <c r="H1246" s="43"/>
    </row>
    <row r="1247" spans="1:8" s="11" customFormat="1" ht="15" hidden="1" customHeight="1" outlineLevel="3" x14ac:dyDescent="0.2">
      <c r="A1247" s="2"/>
      <c r="B1247" s="1"/>
      <c r="C1247" s="27"/>
      <c r="D1247" s="6"/>
      <c r="E1247" s="7"/>
      <c r="F1247" s="7"/>
      <c r="G1247" s="31"/>
      <c r="H1247" s="43"/>
    </row>
    <row r="1248" spans="1:8" s="11" customFormat="1" ht="15" hidden="1" customHeight="1" outlineLevel="3" x14ac:dyDescent="0.2">
      <c r="A1248" s="2"/>
      <c r="B1248" s="1"/>
      <c r="C1248" s="27"/>
      <c r="D1248" s="6"/>
      <c r="E1248" s="7"/>
      <c r="F1248" s="7"/>
      <c r="G1248" s="31"/>
      <c r="H1248" s="43"/>
    </row>
    <row r="1249" spans="1:8" s="11" customFormat="1" ht="14.25" hidden="1" customHeight="1" outlineLevel="3" x14ac:dyDescent="0.2">
      <c r="A1249" s="2"/>
      <c r="B1249" s="1"/>
      <c r="C1249" s="27"/>
      <c r="D1249" s="6"/>
      <c r="E1249" s="7"/>
      <c r="F1249" s="7"/>
      <c r="G1249" s="31"/>
      <c r="H1249" s="43"/>
    </row>
    <row r="1250" spans="1:8" s="11" customFormat="1" ht="15" hidden="1" customHeight="1" outlineLevel="3" x14ac:dyDescent="0.2">
      <c r="A1250" s="2"/>
      <c r="B1250" s="1"/>
      <c r="C1250" s="27"/>
      <c r="D1250" s="6"/>
      <c r="E1250" s="7"/>
      <c r="F1250" s="7"/>
      <c r="G1250" s="31"/>
      <c r="H1250" s="43"/>
    </row>
    <row r="1251" spans="1:8" s="29" customFormat="1" ht="15" hidden="1" customHeight="1" x14ac:dyDescent="0.2">
      <c r="A1251" s="96" t="s">
        <v>26</v>
      </c>
      <c r="B1251" s="97"/>
      <c r="C1251" s="97"/>
      <c r="D1251" s="97"/>
      <c r="E1251" s="97"/>
      <c r="F1251" s="97"/>
      <c r="G1251" s="98"/>
      <c r="H1251" s="39"/>
    </row>
    <row r="1253" spans="1:8" ht="12.75" thickBot="1" x14ac:dyDescent="0.25"/>
    <row r="1254" spans="1:8" s="11" customFormat="1" ht="27.75" customHeight="1" thickBot="1" x14ac:dyDescent="0.25">
      <c r="A1254" s="101" t="str">
        <f>A2</f>
        <v>SCCV GRANDE TERRE</v>
      </c>
      <c r="B1254" s="102"/>
      <c r="C1254" s="102"/>
      <c r="D1254" s="102"/>
      <c r="E1254" s="102"/>
      <c r="F1254" s="102"/>
      <c r="G1254" s="51" t="str">
        <f>G2</f>
        <v>Lot</v>
      </c>
      <c r="H1254" s="52" t="str">
        <f>H2</f>
        <v>PB CVC</v>
      </c>
    </row>
    <row r="1255" spans="1:8" s="12" customFormat="1" ht="15" customHeight="1" thickBot="1" x14ac:dyDescent="0.25">
      <c r="A1255" s="81"/>
      <c r="B1255" s="125"/>
      <c r="C1255" s="126"/>
      <c r="D1255" s="127"/>
      <c r="E1255" s="14"/>
      <c r="F1255" s="14"/>
      <c r="G1255" s="128"/>
      <c r="H1255" s="129"/>
    </row>
    <row r="1256" spans="1:8" s="12" customFormat="1" ht="15" customHeight="1" thickBot="1" x14ac:dyDescent="0.25">
      <c r="A1256" s="113" t="s">
        <v>5</v>
      </c>
      <c r="B1256" s="114"/>
      <c r="C1256" s="114"/>
      <c r="D1256" s="114"/>
      <c r="E1256" s="114"/>
      <c r="F1256" s="114"/>
      <c r="G1256" s="114"/>
      <c r="H1256" s="130"/>
    </row>
    <row r="1257" spans="1:8" s="12" customFormat="1" ht="15" customHeight="1" thickBot="1" x14ac:dyDescent="0.25">
      <c r="A1257" s="44"/>
      <c r="B1257" s="131"/>
      <c r="C1257" s="132"/>
      <c r="D1257" s="127"/>
      <c r="E1257" s="14"/>
      <c r="F1257" s="15"/>
      <c r="G1257" s="33"/>
      <c r="H1257" s="133"/>
    </row>
    <row r="1258" spans="1:8" s="12" customFormat="1" ht="22.5" customHeight="1" x14ac:dyDescent="0.2">
      <c r="A1258" s="109" t="s">
        <v>19</v>
      </c>
      <c r="B1258" s="110"/>
      <c r="C1258" s="111"/>
      <c r="D1258" s="111"/>
      <c r="E1258" s="111"/>
      <c r="F1258" s="111"/>
      <c r="G1258" s="112" t="s">
        <v>14</v>
      </c>
      <c r="H1258" s="134"/>
    </row>
    <row r="1259" spans="1:8" s="12" customFormat="1" ht="15" customHeight="1" x14ac:dyDescent="0.2">
      <c r="A1259" s="99">
        <f>A4</f>
        <v>1</v>
      </c>
      <c r="B1259" s="100"/>
      <c r="C1259" s="92" t="str">
        <f>C4</f>
        <v>GENERALITES</v>
      </c>
      <c r="D1259" s="93"/>
      <c r="E1259" s="93"/>
      <c r="F1259" s="94"/>
      <c r="G1259" s="95"/>
      <c r="H1259" s="88"/>
    </row>
    <row r="1260" spans="1:8" s="12" customFormat="1" ht="15" customHeight="1" x14ac:dyDescent="0.2">
      <c r="A1260" s="99">
        <f>A240</f>
        <v>2</v>
      </c>
      <c r="B1260" s="100"/>
      <c r="C1260" s="92" t="str">
        <f>C240</f>
        <v xml:space="preserve">PLOMBERIE </v>
      </c>
      <c r="D1260" s="93"/>
      <c r="E1260" s="93"/>
      <c r="F1260" s="94"/>
      <c r="G1260" s="95"/>
      <c r="H1260" s="88"/>
    </row>
    <row r="1261" spans="1:8" s="12" customFormat="1" ht="15" customHeight="1" x14ac:dyDescent="0.2">
      <c r="A1261" s="99">
        <f>A524</f>
        <v>3</v>
      </c>
      <c r="B1261" s="100"/>
      <c r="C1261" s="92" t="str">
        <f>C524</f>
        <v>CHAUFFAGE RAFRAICHISSEMENT</v>
      </c>
      <c r="D1261" s="93"/>
      <c r="E1261" s="93"/>
      <c r="F1261" s="94"/>
      <c r="G1261" s="95"/>
      <c r="H1261" s="88"/>
    </row>
    <row r="1262" spans="1:8" s="12" customFormat="1" ht="15" customHeight="1" thickBot="1" x14ac:dyDescent="0.25">
      <c r="A1262" s="99">
        <f>A777</f>
        <v>4</v>
      </c>
      <c r="B1262" s="100"/>
      <c r="C1262" s="92" t="str">
        <f>C777</f>
        <v>VENTILATION</v>
      </c>
      <c r="D1262" s="93"/>
      <c r="E1262" s="93"/>
      <c r="F1262" s="94"/>
      <c r="G1262" s="95"/>
      <c r="H1262" s="88"/>
    </row>
    <row r="1263" spans="1:8" s="12" customFormat="1" ht="15" hidden="1" customHeight="1" thickBot="1" x14ac:dyDescent="0.25">
      <c r="A1263" s="99">
        <f>A1016</f>
        <v>5</v>
      </c>
      <c r="B1263" s="100"/>
      <c r="C1263" s="92">
        <f>C1016</f>
        <v>0</v>
      </c>
      <c r="D1263" s="93"/>
      <c r="E1263" s="93"/>
      <c r="F1263" s="94"/>
      <c r="G1263" s="95">
        <f>H1016</f>
        <v>0</v>
      </c>
      <c r="H1263" s="88"/>
    </row>
    <row r="1264" spans="1:8" s="16" customFormat="1" ht="15" customHeight="1" x14ac:dyDescent="0.2">
      <c r="A1264" s="44"/>
      <c r="B1264" s="131"/>
      <c r="C1264" s="135" t="s">
        <v>3</v>
      </c>
      <c r="D1264" s="135"/>
      <c r="E1264" s="135"/>
      <c r="F1264" s="135"/>
      <c r="G1264" s="85">
        <f>SUM(G1259:H1263)</f>
        <v>0</v>
      </c>
      <c r="H1264" s="86"/>
    </row>
    <row r="1265" spans="1:8" s="16" customFormat="1" ht="15" customHeight="1" x14ac:dyDescent="0.2">
      <c r="A1265" s="44"/>
      <c r="B1265" s="136"/>
      <c r="C1265" s="135" t="s">
        <v>6</v>
      </c>
      <c r="D1265" s="135"/>
      <c r="E1265" s="135"/>
      <c r="F1265" s="135"/>
      <c r="G1265" s="87">
        <f>G1264*0.2</f>
        <v>0</v>
      </c>
      <c r="H1265" s="88"/>
    </row>
    <row r="1266" spans="1:8" s="16" customFormat="1" ht="15" customHeight="1" thickBot="1" x14ac:dyDescent="0.25">
      <c r="A1266" s="45"/>
      <c r="B1266" s="46"/>
      <c r="C1266" s="108" t="s">
        <v>4</v>
      </c>
      <c r="D1266" s="108"/>
      <c r="E1266" s="108"/>
      <c r="F1266" s="108"/>
      <c r="G1266" s="89">
        <f>G1265+G1264</f>
        <v>0</v>
      </c>
      <c r="H1266" s="90"/>
    </row>
    <row r="1267" spans="1:8" ht="15" customHeight="1" x14ac:dyDescent="0.2">
      <c r="D1267" s="20"/>
      <c r="E1267" s="20"/>
      <c r="F1267" s="21"/>
      <c r="G1267" s="32"/>
      <c r="H1267" s="32"/>
    </row>
    <row r="1268" spans="1:8" ht="37.5" customHeight="1" x14ac:dyDescent="0.2">
      <c r="A1268" s="91" t="s">
        <v>27</v>
      </c>
      <c r="B1268" s="91"/>
      <c r="C1268" s="91"/>
      <c r="D1268" s="91"/>
      <c r="E1268" s="91"/>
      <c r="F1268" s="91"/>
      <c r="G1268" s="91"/>
      <c r="H1268" s="91"/>
    </row>
    <row r="1269" spans="1:8" s="12" customFormat="1" ht="30.75" customHeight="1" x14ac:dyDescent="0.2">
      <c r="A1269" s="115" t="s">
        <v>20</v>
      </c>
      <c r="B1269" s="115"/>
      <c r="C1269" s="115"/>
      <c r="D1269" s="115"/>
      <c r="E1269" s="115"/>
      <c r="F1269" s="115"/>
      <c r="G1269" s="115"/>
      <c r="H1269" s="115"/>
    </row>
    <row r="1270" spans="1:8" s="12" customFormat="1" ht="34.5" customHeight="1" x14ac:dyDescent="0.2">
      <c r="A1270" s="115" t="s">
        <v>21</v>
      </c>
      <c r="B1270" s="115"/>
      <c r="C1270" s="115"/>
      <c r="D1270" s="115"/>
      <c r="E1270" s="115"/>
      <c r="F1270" s="115"/>
      <c r="G1270" s="115"/>
      <c r="H1270" s="115"/>
    </row>
    <row r="1271" spans="1:8" ht="15" customHeight="1" x14ac:dyDescent="0.2">
      <c r="C1271" s="23"/>
      <c r="D1271" s="23"/>
      <c r="E1271" s="23"/>
      <c r="F1271" s="23"/>
      <c r="G1271" s="35"/>
      <c r="H1271" s="35"/>
    </row>
    <row r="1272" spans="1:8" ht="15" customHeight="1" x14ac:dyDescent="0.2">
      <c r="A1272" s="83" t="s">
        <v>7</v>
      </c>
      <c r="B1272" s="83"/>
      <c r="C1272" s="83"/>
      <c r="D1272" s="83"/>
      <c r="E1272" s="83"/>
      <c r="F1272" s="83"/>
      <c r="G1272" s="83"/>
      <c r="H1272" s="83"/>
    </row>
    <row r="1273" spans="1:8" ht="15" customHeight="1" x14ac:dyDescent="0.2">
      <c r="A1273" s="84" t="s">
        <v>28</v>
      </c>
      <c r="B1273" s="84"/>
      <c r="C1273" s="84"/>
      <c r="D1273" s="84"/>
      <c r="E1273" s="84"/>
      <c r="F1273" s="84"/>
      <c r="G1273" s="84"/>
      <c r="H1273" s="84"/>
    </row>
    <row r="1274" spans="1:8" ht="44.25" customHeight="1" x14ac:dyDescent="0.2">
      <c r="A1274" s="84" t="s">
        <v>29</v>
      </c>
      <c r="B1274" s="84"/>
      <c r="C1274" s="84"/>
      <c r="D1274" s="84"/>
      <c r="E1274" s="84"/>
      <c r="F1274" s="84"/>
      <c r="G1274" s="84"/>
      <c r="H1274" s="84"/>
    </row>
    <row r="1275" spans="1:8" ht="15" customHeight="1" x14ac:dyDescent="0.2">
      <c r="A1275" s="26"/>
      <c r="B1275" s="26"/>
      <c r="C1275" s="25"/>
      <c r="E1275" s="32"/>
      <c r="F1275" s="34"/>
      <c r="G1275" s="22"/>
      <c r="H1275" s="22"/>
    </row>
    <row r="1276" spans="1:8" ht="15" customHeight="1" x14ac:dyDescent="0.2">
      <c r="A1276" s="24" t="s">
        <v>8</v>
      </c>
      <c r="B1276" s="24"/>
      <c r="C1276" s="24" t="s">
        <v>15</v>
      </c>
      <c r="E1276" s="32"/>
      <c r="F1276" s="34"/>
      <c r="G1276" s="22"/>
      <c r="H1276" s="22"/>
    </row>
    <row r="1277" spans="1:8" ht="15" customHeight="1" x14ac:dyDescent="0.2">
      <c r="A1277" s="24"/>
      <c r="B1277" s="24"/>
      <c r="C1277" s="24"/>
      <c r="E1277" s="32"/>
      <c r="F1277" s="34"/>
      <c r="G1277" s="22"/>
      <c r="H1277" s="22"/>
    </row>
    <row r="1278" spans="1:8" ht="15" customHeight="1" x14ac:dyDescent="0.2">
      <c r="A1278" s="24" t="s">
        <v>9</v>
      </c>
      <c r="B1278" s="24"/>
      <c r="C1278" s="25"/>
      <c r="E1278" s="32"/>
      <c r="F1278" s="34"/>
      <c r="G1278" s="22"/>
      <c r="H1278" s="22"/>
    </row>
  </sheetData>
  <mergeCells count="1282">
    <mergeCell ref="A495:B495"/>
    <mergeCell ref="A496:B496"/>
    <mergeCell ref="A479:B479"/>
    <mergeCell ref="A480:B480"/>
    <mergeCell ref="A481:B481"/>
    <mergeCell ref="A332:B332"/>
    <mergeCell ref="A333:B333"/>
    <mergeCell ref="A340:B340"/>
    <mergeCell ref="A341:B341"/>
    <mergeCell ref="A337:B337"/>
    <mergeCell ref="A338:B338"/>
    <mergeCell ref="A339:B339"/>
    <mergeCell ref="A353:B353"/>
    <mergeCell ref="A354:B354"/>
    <mergeCell ref="A355:B355"/>
    <mergeCell ref="A356:B356"/>
    <mergeCell ref="A369:B369"/>
    <mergeCell ref="A367:B367"/>
    <mergeCell ref="A368:B368"/>
    <mergeCell ref="A342:B342"/>
    <mergeCell ref="A343:B343"/>
    <mergeCell ref="A345:B345"/>
    <mergeCell ref="A461:B461"/>
    <mergeCell ref="A462:B462"/>
    <mergeCell ref="A530:B530"/>
    <mergeCell ref="A537:B537"/>
    <mergeCell ref="A531:B531"/>
    <mergeCell ref="A533:B533"/>
    <mergeCell ref="A534:B534"/>
    <mergeCell ref="A535:B535"/>
    <mergeCell ref="A536:B536"/>
    <mergeCell ref="A482:B482"/>
    <mergeCell ref="A483:B483"/>
    <mergeCell ref="A484:B484"/>
    <mergeCell ref="A485:B485"/>
    <mergeCell ref="A486:B486"/>
    <mergeCell ref="A487:B487"/>
    <mergeCell ref="A470:B470"/>
    <mergeCell ref="A471:B471"/>
    <mergeCell ref="A472:B472"/>
    <mergeCell ref="A473:B473"/>
    <mergeCell ref="A474:B474"/>
    <mergeCell ref="A475:B475"/>
    <mergeCell ref="A503:B503"/>
    <mergeCell ref="A504:B504"/>
    <mergeCell ref="A505:B505"/>
    <mergeCell ref="A488:B488"/>
    <mergeCell ref="A489:B489"/>
    <mergeCell ref="A490:B490"/>
    <mergeCell ref="A476:B476"/>
    <mergeCell ref="A477:B477"/>
    <mergeCell ref="A478:B478"/>
    <mergeCell ref="A491:B491"/>
    <mergeCell ref="A492:B492"/>
    <mergeCell ref="A493:B493"/>
    <mergeCell ref="A494:B494"/>
    <mergeCell ref="A543:B543"/>
    <mergeCell ref="A544:B544"/>
    <mergeCell ref="A546:B546"/>
    <mergeCell ref="A547:B547"/>
    <mergeCell ref="A532:B532"/>
    <mergeCell ref="A506:B506"/>
    <mergeCell ref="A507:B507"/>
    <mergeCell ref="A508:B508"/>
    <mergeCell ref="A509:B509"/>
    <mergeCell ref="A510:B510"/>
    <mergeCell ref="A511:B511"/>
    <mergeCell ref="A512:B512"/>
    <mergeCell ref="A513:B513"/>
    <mergeCell ref="A514:B514"/>
    <mergeCell ref="A497:B497"/>
    <mergeCell ref="A498:B498"/>
    <mergeCell ref="A499:B499"/>
    <mergeCell ref="A500:B500"/>
    <mergeCell ref="A501:B501"/>
    <mergeCell ref="A502:B502"/>
    <mergeCell ref="A524:B524"/>
    <mergeCell ref="A525:B525"/>
    <mergeCell ref="A526:B526"/>
    <mergeCell ref="A538:B538"/>
    <mergeCell ref="A540:B540"/>
    <mergeCell ref="A541:B541"/>
    <mergeCell ref="A542:B542"/>
    <mergeCell ref="A523:G523"/>
    <mergeCell ref="A529:B529"/>
    <mergeCell ref="A545:B545"/>
    <mergeCell ref="A527:B527"/>
    <mergeCell ref="A528:B528"/>
    <mergeCell ref="A1245:B1245"/>
    <mergeCell ref="A1246:B1246"/>
    <mergeCell ref="A1247:B1247"/>
    <mergeCell ref="A1248:B1248"/>
    <mergeCell ref="A1249:B1249"/>
    <mergeCell ref="A1250:B1250"/>
    <mergeCell ref="A1236:B1236"/>
    <mergeCell ref="A1237:B1237"/>
    <mergeCell ref="A1238:B1238"/>
    <mergeCell ref="A1239:B1239"/>
    <mergeCell ref="A1240:B1240"/>
    <mergeCell ref="A1241:B1241"/>
    <mergeCell ref="A1242:B1242"/>
    <mergeCell ref="A1243:B1243"/>
    <mergeCell ref="A1244:B1244"/>
    <mergeCell ref="A1227:B1227"/>
    <mergeCell ref="A1228:B1228"/>
    <mergeCell ref="A1229:B1229"/>
    <mergeCell ref="A1230:B1230"/>
    <mergeCell ref="A1231:B1231"/>
    <mergeCell ref="A1232:B1232"/>
    <mergeCell ref="A1233:B1233"/>
    <mergeCell ref="A1234:B1234"/>
    <mergeCell ref="A1235:B1235"/>
    <mergeCell ref="A1218:B1218"/>
    <mergeCell ref="A1219:B1219"/>
    <mergeCell ref="A1220:B1220"/>
    <mergeCell ref="A1221:B1221"/>
    <mergeCell ref="A1222:B1222"/>
    <mergeCell ref="A1223:B1223"/>
    <mergeCell ref="A1224:B1224"/>
    <mergeCell ref="A1225:B1225"/>
    <mergeCell ref="A1226:B1226"/>
    <mergeCell ref="A1209:B1209"/>
    <mergeCell ref="A1210:B1210"/>
    <mergeCell ref="A1211:B1211"/>
    <mergeCell ref="A1212:B1212"/>
    <mergeCell ref="A1213:B1213"/>
    <mergeCell ref="A1214:B1214"/>
    <mergeCell ref="A1215:B1215"/>
    <mergeCell ref="A1216:B1216"/>
    <mergeCell ref="A1217:B1217"/>
    <mergeCell ref="A1200:B1200"/>
    <mergeCell ref="A1201:B1201"/>
    <mergeCell ref="A1202:B1202"/>
    <mergeCell ref="A1203:B1203"/>
    <mergeCell ref="A1204:B1204"/>
    <mergeCell ref="A1205:B1205"/>
    <mergeCell ref="A1206:B1206"/>
    <mergeCell ref="A1207:B1207"/>
    <mergeCell ref="A1208:B1208"/>
    <mergeCell ref="A1191:B1191"/>
    <mergeCell ref="A1192:B1192"/>
    <mergeCell ref="A1193:B1193"/>
    <mergeCell ref="A1194:B1194"/>
    <mergeCell ref="A1195:B1195"/>
    <mergeCell ref="A1196:B1196"/>
    <mergeCell ref="A1197:B1197"/>
    <mergeCell ref="A1198:B1198"/>
    <mergeCell ref="A1199:B1199"/>
    <mergeCell ref="A1182:B1182"/>
    <mergeCell ref="A1183:B1183"/>
    <mergeCell ref="A1184:B1184"/>
    <mergeCell ref="A1185:B1185"/>
    <mergeCell ref="A1186:B1186"/>
    <mergeCell ref="A1187:B1187"/>
    <mergeCell ref="A1188:B1188"/>
    <mergeCell ref="A1189:B1189"/>
    <mergeCell ref="A1190:B1190"/>
    <mergeCell ref="A1173:B1173"/>
    <mergeCell ref="A1174:B1174"/>
    <mergeCell ref="A1175:B1175"/>
    <mergeCell ref="A1176:B1176"/>
    <mergeCell ref="A1177:B1177"/>
    <mergeCell ref="A1178:B1178"/>
    <mergeCell ref="A1179:B1179"/>
    <mergeCell ref="A1180:B1180"/>
    <mergeCell ref="A1181:B1181"/>
    <mergeCell ref="A1164:B1164"/>
    <mergeCell ref="A1165:B1165"/>
    <mergeCell ref="A1166:B1166"/>
    <mergeCell ref="A1167:B1167"/>
    <mergeCell ref="A1168:B1168"/>
    <mergeCell ref="A1169:B1169"/>
    <mergeCell ref="A1170:B1170"/>
    <mergeCell ref="A1171:B1171"/>
    <mergeCell ref="A1172:B1172"/>
    <mergeCell ref="A1155:B1155"/>
    <mergeCell ref="A1156:B1156"/>
    <mergeCell ref="A1157:B1157"/>
    <mergeCell ref="A1158:B1158"/>
    <mergeCell ref="A1159:B1159"/>
    <mergeCell ref="A1160:B1160"/>
    <mergeCell ref="A1161:B1161"/>
    <mergeCell ref="A1162:B1162"/>
    <mergeCell ref="A1163:B1163"/>
    <mergeCell ref="A1147:B1147"/>
    <mergeCell ref="A1148:B1148"/>
    <mergeCell ref="A1149:B1149"/>
    <mergeCell ref="A1150:B1150"/>
    <mergeCell ref="A1151:B1151"/>
    <mergeCell ref="A1152:B1152"/>
    <mergeCell ref="A1153:B1153"/>
    <mergeCell ref="A1154:B1154"/>
    <mergeCell ref="A1137:B1137"/>
    <mergeCell ref="A1138:B1138"/>
    <mergeCell ref="A1139:B1139"/>
    <mergeCell ref="A1140:B1140"/>
    <mergeCell ref="A1141:B1141"/>
    <mergeCell ref="A1142:B1142"/>
    <mergeCell ref="A1143:B1143"/>
    <mergeCell ref="A1144:B1144"/>
    <mergeCell ref="A1145:B1145"/>
    <mergeCell ref="A1130:B1130"/>
    <mergeCell ref="A1131:B1131"/>
    <mergeCell ref="A1132:B1132"/>
    <mergeCell ref="A1133:B1133"/>
    <mergeCell ref="A1134:B1134"/>
    <mergeCell ref="A1135:B1135"/>
    <mergeCell ref="A1136:B1136"/>
    <mergeCell ref="A1119:B1119"/>
    <mergeCell ref="A1120:B1120"/>
    <mergeCell ref="A1121:B1121"/>
    <mergeCell ref="A1122:B1122"/>
    <mergeCell ref="A1123:B1123"/>
    <mergeCell ref="A1124:B1124"/>
    <mergeCell ref="A1125:B1125"/>
    <mergeCell ref="A1126:B1126"/>
    <mergeCell ref="A1127:B1127"/>
    <mergeCell ref="A1146:B1146"/>
    <mergeCell ref="A1113:B1113"/>
    <mergeCell ref="A1114:B1114"/>
    <mergeCell ref="A1115:B1115"/>
    <mergeCell ref="A1116:B1116"/>
    <mergeCell ref="A1117:B1117"/>
    <mergeCell ref="A1118:B1118"/>
    <mergeCell ref="A1101:B1101"/>
    <mergeCell ref="A1102:B1102"/>
    <mergeCell ref="A1103:B1103"/>
    <mergeCell ref="A1104:B1104"/>
    <mergeCell ref="A1105:B1105"/>
    <mergeCell ref="A1106:B1106"/>
    <mergeCell ref="A1107:B1107"/>
    <mergeCell ref="A1108:B1108"/>
    <mergeCell ref="A1109:B1109"/>
    <mergeCell ref="A1128:B1128"/>
    <mergeCell ref="A1129:B1129"/>
    <mergeCell ref="A1096:B1096"/>
    <mergeCell ref="A1097:B1097"/>
    <mergeCell ref="A1098:B1098"/>
    <mergeCell ref="A1099:B1099"/>
    <mergeCell ref="A1100:B1100"/>
    <mergeCell ref="A1083:B1083"/>
    <mergeCell ref="A1084:B1084"/>
    <mergeCell ref="A1085:B1085"/>
    <mergeCell ref="A1086:B1086"/>
    <mergeCell ref="A1087:B1087"/>
    <mergeCell ref="A1088:B1088"/>
    <mergeCell ref="A1089:B1089"/>
    <mergeCell ref="A1090:B1090"/>
    <mergeCell ref="A1091:B1091"/>
    <mergeCell ref="A1110:B1110"/>
    <mergeCell ref="A1111:B1111"/>
    <mergeCell ref="A1112:B1112"/>
    <mergeCell ref="A1079:B1079"/>
    <mergeCell ref="A1080:B1080"/>
    <mergeCell ref="A1081:B1081"/>
    <mergeCell ref="A1082:B1082"/>
    <mergeCell ref="A1065:B1065"/>
    <mergeCell ref="A1066:B1066"/>
    <mergeCell ref="A1067:B1067"/>
    <mergeCell ref="A1068:B1068"/>
    <mergeCell ref="A1069:B1069"/>
    <mergeCell ref="A1070:B1070"/>
    <mergeCell ref="A1071:B1071"/>
    <mergeCell ref="A1072:B1072"/>
    <mergeCell ref="A1073:B1073"/>
    <mergeCell ref="A1092:B1092"/>
    <mergeCell ref="A1093:B1093"/>
    <mergeCell ref="A1094:B1094"/>
    <mergeCell ref="A1095:B1095"/>
    <mergeCell ref="A1062:B1062"/>
    <mergeCell ref="A1063:B1063"/>
    <mergeCell ref="A1064:B1064"/>
    <mergeCell ref="A1047:B1047"/>
    <mergeCell ref="A1048:B1048"/>
    <mergeCell ref="A1049:B1049"/>
    <mergeCell ref="A1050:B1050"/>
    <mergeCell ref="A1051:B1051"/>
    <mergeCell ref="A1052:B1052"/>
    <mergeCell ref="A1053:B1053"/>
    <mergeCell ref="A1054:B1054"/>
    <mergeCell ref="A1055:B1055"/>
    <mergeCell ref="A1074:B1074"/>
    <mergeCell ref="A1075:B1075"/>
    <mergeCell ref="A1076:B1076"/>
    <mergeCell ref="A1077:B1077"/>
    <mergeCell ref="A1078:B1078"/>
    <mergeCell ref="A1010:B1010"/>
    <mergeCell ref="A1011:B1011"/>
    <mergeCell ref="A1012:B1012"/>
    <mergeCell ref="A1013:B1013"/>
    <mergeCell ref="A1014:B1014"/>
    <mergeCell ref="A1016:B1016"/>
    <mergeCell ref="A1017:B1017"/>
    <mergeCell ref="A1018:B1018"/>
    <mergeCell ref="A1019:B1019"/>
    <mergeCell ref="A1020:B1020"/>
    <mergeCell ref="A1021:B1021"/>
    <mergeCell ref="A1022:B1022"/>
    <mergeCell ref="A1023:B1023"/>
    <mergeCell ref="A1024:B1024"/>
    <mergeCell ref="A1025:B1025"/>
    <mergeCell ref="A1026:B1026"/>
    <mergeCell ref="A1027:B1027"/>
    <mergeCell ref="A1028:B1028"/>
    <mergeCell ref="A1029:B1029"/>
    <mergeCell ref="A1030:B1030"/>
    <mergeCell ref="A1031:B1031"/>
    <mergeCell ref="A1045:B1045"/>
    <mergeCell ref="A1046:B1046"/>
    <mergeCell ref="A1056:B1056"/>
    <mergeCell ref="A1057:B1057"/>
    <mergeCell ref="A1058:B1058"/>
    <mergeCell ref="A1059:B1059"/>
    <mergeCell ref="A1060:B1060"/>
    <mergeCell ref="A1061:B1061"/>
    <mergeCell ref="A1001:B1001"/>
    <mergeCell ref="A1002:B1002"/>
    <mergeCell ref="A1003:B1003"/>
    <mergeCell ref="A1004:B1004"/>
    <mergeCell ref="A1005:B1005"/>
    <mergeCell ref="A1006:B1006"/>
    <mergeCell ref="A1007:B1007"/>
    <mergeCell ref="A1008:B1008"/>
    <mergeCell ref="A1009:B1009"/>
    <mergeCell ref="A992:B992"/>
    <mergeCell ref="A993:B993"/>
    <mergeCell ref="A994:B994"/>
    <mergeCell ref="A995:B995"/>
    <mergeCell ref="A996:B996"/>
    <mergeCell ref="A997:B997"/>
    <mergeCell ref="A998:B998"/>
    <mergeCell ref="A999:B999"/>
    <mergeCell ref="A1000:B1000"/>
    <mergeCell ref="A983:B983"/>
    <mergeCell ref="A984:B984"/>
    <mergeCell ref="A985:B985"/>
    <mergeCell ref="A986:B986"/>
    <mergeCell ref="A987:B987"/>
    <mergeCell ref="A988:B988"/>
    <mergeCell ref="A989:B989"/>
    <mergeCell ref="A990:B990"/>
    <mergeCell ref="A991:B991"/>
    <mergeCell ref="A974:B974"/>
    <mergeCell ref="A975:B975"/>
    <mergeCell ref="A976:B976"/>
    <mergeCell ref="A977:B977"/>
    <mergeCell ref="A978:B978"/>
    <mergeCell ref="A979:B979"/>
    <mergeCell ref="A980:B980"/>
    <mergeCell ref="A981:B981"/>
    <mergeCell ref="A982:B982"/>
    <mergeCell ref="A965:B965"/>
    <mergeCell ref="A966:B966"/>
    <mergeCell ref="A967:B967"/>
    <mergeCell ref="A968:B968"/>
    <mergeCell ref="A969:B969"/>
    <mergeCell ref="A970:B970"/>
    <mergeCell ref="A971:B971"/>
    <mergeCell ref="A972:B972"/>
    <mergeCell ref="A973:B973"/>
    <mergeCell ref="A956:B956"/>
    <mergeCell ref="A957:B957"/>
    <mergeCell ref="A958:B958"/>
    <mergeCell ref="A959:B959"/>
    <mergeCell ref="A960:B960"/>
    <mergeCell ref="A961:B961"/>
    <mergeCell ref="A962:B962"/>
    <mergeCell ref="A963:B963"/>
    <mergeCell ref="A964:B964"/>
    <mergeCell ref="A947:B947"/>
    <mergeCell ref="A948:B948"/>
    <mergeCell ref="A949:B949"/>
    <mergeCell ref="A950:B950"/>
    <mergeCell ref="A951:B951"/>
    <mergeCell ref="A952:B952"/>
    <mergeCell ref="A953:B953"/>
    <mergeCell ref="A954:B954"/>
    <mergeCell ref="A955:B955"/>
    <mergeCell ref="A938:B938"/>
    <mergeCell ref="A939:B939"/>
    <mergeCell ref="A940:B940"/>
    <mergeCell ref="A941:B941"/>
    <mergeCell ref="A942:B942"/>
    <mergeCell ref="A943:B943"/>
    <mergeCell ref="A944:B944"/>
    <mergeCell ref="A945:B945"/>
    <mergeCell ref="A946:B946"/>
    <mergeCell ref="A929:B929"/>
    <mergeCell ref="A930:B930"/>
    <mergeCell ref="A931:B931"/>
    <mergeCell ref="A932:B932"/>
    <mergeCell ref="A933:B933"/>
    <mergeCell ref="A934:B934"/>
    <mergeCell ref="A935:B935"/>
    <mergeCell ref="A936:B936"/>
    <mergeCell ref="A937:B937"/>
    <mergeCell ref="A920:B920"/>
    <mergeCell ref="A921:B921"/>
    <mergeCell ref="A922:B922"/>
    <mergeCell ref="A923:B923"/>
    <mergeCell ref="A924:B924"/>
    <mergeCell ref="A925:B925"/>
    <mergeCell ref="A926:B926"/>
    <mergeCell ref="A927:B927"/>
    <mergeCell ref="A928:B928"/>
    <mergeCell ref="A912:B912"/>
    <mergeCell ref="A913:B913"/>
    <mergeCell ref="A914:B914"/>
    <mergeCell ref="A915:B915"/>
    <mergeCell ref="A916:B916"/>
    <mergeCell ref="A917:B917"/>
    <mergeCell ref="A918:B918"/>
    <mergeCell ref="A919:B919"/>
    <mergeCell ref="A771:B771"/>
    <mergeCell ref="A772:B772"/>
    <mergeCell ref="A773:B773"/>
    <mergeCell ref="A774:B774"/>
    <mergeCell ref="A775:B775"/>
    <mergeCell ref="A777:B777"/>
    <mergeCell ref="A861:B861"/>
    <mergeCell ref="A862:B862"/>
    <mergeCell ref="A863:B863"/>
    <mergeCell ref="A864:B864"/>
    <mergeCell ref="A865:B865"/>
    <mergeCell ref="A866:B866"/>
    <mergeCell ref="A867:B867"/>
    <mergeCell ref="A868:B868"/>
    <mergeCell ref="A869:B869"/>
    <mergeCell ref="A870:B870"/>
    <mergeCell ref="A871:B871"/>
    <mergeCell ref="A872:B872"/>
    <mergeCell ref="A873:B873"/>
    <mergeCell ref="A874:B874"/>
    <mergeCell ref="A875:B875"/>
    <mergeCell ref="A908:B908"/>
    <mergeCell ref="A778:B778"/>
    <mergeCell ref="A779:B779"/>
    <mergeCell ref="A780:B780"/>
    <mergeCell ref="A782:B782"/>
    <mergeCell ref="A783:B783"/>
    <mergeCell ref="A784:B784"/>
    <mergeCell ref="A785:B785"/>
    <mergeCell ref="A786:B786"/>
    <mergeCell ref="A787:B787"/>
    <mergeCell ref="A788:B788"/>
    <mergeCell ref="A789:B789"/>
    <mergeCell ref="A790:B790"/>
    <mergeCell ref="A791:B791"/>
    <mergeCell ref="A793:B793"/>
    <mergeCell ref="A762:B762"/>
    <mergeCell ref="A763:B763"/>
    <mergeCell ref="A764:B764"/>
    <mergeCell ref="A765:B765"/>
    <mergeCell ref="A766:B766"/>
    <mergeCell ref="A767:B767"/>
    <mergeCell ref="A768:B768"/>
    <mergeCell ref="A769:B769"/>
    <mergeCell ref="A770:B770"/>
    <mergeCell ref="A854:B854"/>
    <mergeCell ref="A855:B855"/>
    <mergeCell ref="A856:B856"/>
    <mergeCell ref="A857:B857"/>
    <mergeCell ref="A858:B858"/>
    <mergeCell ref="A859:B859"/>
    <mergeCell ref="A860:B860"/>
    <mergeCell ref="A842:B842"/>
    <mergeCell ref="A753:B753"/>
    <mergeCell ref="A754:B754"/>
    <mergeCell ref="A755:B755"/>
    <mergeCell ref="A756:B756"/>
    <mergeCell ref="A757:B757"/>
    <mergeCell ref="A758:B758"/>
    <mergeCell ref="A759:B759"/>
    <mergeCell ref="A760:B760"/>
    <mergeCell ref="A761:B761"/>
    <mergeCell ref="A744:B744"/>
    <mergeCell ref="A745:B745"/>
    <mergeCell ref="A746:B746"/>
    <mergeCell ref="A747:B747"/>
    <mergeCell ref="A748:B748"/>
    <mergeCell ref="A749:B749"/>
    <mergeCell ref="A750:B750"/>
    <mergeCell ref="A751:B751"/>
    <mergeCell ref="A752:B752"/>
    <mergeCell ref="A735:B735"/>
    <mergeCell ref="A736:B736"/>
    <mergeCell ref="A737:B737"/>
    <mergeCell ref="A738:B738"/>
    <mergeCell ref="A739:B739"/>
    <mergeCell ref="A740:B740"/>
    <mergeCell ref="A741:B741"/>
    <mergeCell ref="A742:B742"/>
    <mergeCell ref="A743:B743"/>
    <mergeCell ref="A726:B726"/>
    <mergeCell ref="A727:B727"/>
    <mergeCell ref="A728:B728"/>
    <mergeCell ref="A729:B729"/>
    <mergeCell ref="A730:B730"/>
    <mergeCell ref="A731:B731"/>
    <mergeCell ref="A732:B732"/>
    <mergeCell ref="A733:B733"/>
    <mergeCell ref="A734:B734"/>
    <mergeCell ref="A717:B717"/>
    <mergeCell ref="A718:B718"/>
    <mergeCell ref="A719:B719"/>
    <mergeCell ref="A720:B720"/>
    <mergeCell ref="A721:B721"/>
    <mergeCell ref="A722:B722"/>
    <mergeCell ref="A723:B723"/>
    <mergeCell ref="A724:B724"/>
    <mergeCell ref="A725:B725"/>
    <mergeCell ref="A708:B708"/>
    <mergeCell ref="A709:B709"/>
    <mergeCell ref="A710:B710"/>
    <mergeCell ref="A711:B711"/>
    <mergeCell ref="A712:B712"/>
    <mergeCell ref="A713:B713"/>
    <mergeCell ref="A714:B714"/>
    <mergeCell ref="A715:B715"/>
    <mergeCell ref="A716:B716"/>
    <mergeCell ref="A699:B699"/>
    <mergeCell ref="A700:B700"/>
    <mergeCell ref="A701:B701"/>
    <mergeCell ref="A702:B702"/>
    <mergeCell ref="A703:B703"/>
    <mergeCell ref="A704:B704"/>
    <mergeCell ref="A705:B705"/>
    <mergeCell ref="A706:B706"/>
    <mergeCell ref="A707:B707"/>
    <mergeCell ref="A690:B690"/>
    <mergeCell ref="A691:B691"/>
    <mergeCell ref="A692:B692"/>
    <mergeCell ref="A693:B693"/>
    <mergeCell ref="A694:B694"/>
    <mergeCell ref="A695:B695"/>
    <mergeCell ref="A696:B696"/>
    <mergeCell ref="A697:B697"/>
    <mergeCell ref="A698:B698"/>
    <mergeCell ref="A659:B659"/>
    <mergeCell ref="A660:B660"/>
    <mergeCell ref="A661:B661"/>
    <mergeCell ref="A662:B662"/>
    <mergeCell ref="A681:B681"/>
    <mergeCell ref="A682:B682"/>
    <mergeCell ref="A683:B683"/>
    <mergeCell ref="A684:B684"/>
    <mergeCell ref="A685:B685"/>
    <mergeCell ref="A686:B686"/>
    <mergeCell ref="A687:B687"/>
    <mergeCell ref="A688:B688"/>
    <mergeCell ref="A689:B689"/>
    <mergeCell ref="A672:B672"/>
    <mergeCell ref="A673:B673"/>
    <mergeCell ref="A674:B674"/>
    <mergeCell ref="A675:B675"/>
    <mergeCell ref="A676:B676"/>
    <mergeCell ref="A677:B677"/>
    <mergeCell ref="A678:B678"/>
    <mergeCell ref="A679:B679"/>
    <mergeCell ref="A680:B680"/>
    <mergeCell ref="A646:B646"/>
    <mergeCell ref="A647:B647"/>
    <mergeCell ref="A648:B648"/>
    <mergeCell ref="A649:B649"/>
    <mergeCell ref="A650:B650"/>
    <mergeCell ref="A651:B651"/>
    <mergeCell ref="A652:B652"/>
    <mergeCell ref="A515:B515"/>
    <mergeCell ref="A516:B516"/>
    <mergeCell ref="A517:B517"/>
    <mergeCell ref="A518:B518"/>
    <mergeCell ref="A519:B519"/>
    <mergeCell ref="A520:B520"/>
    <mergeCell ref="A521:B521"/>
    <mergeCell ref="A522:B522"/>
    <mergeCell ref="A560:B560"/>
    <mergeCell ref="A561:B561"/>
    <mergeCell ref="A578:B578"/>
    <mergeCell ref="A579:B579"/>
    <mergeCell ref="A580:B580"/>
    <mergeCell ref="A581:B581"/>
    <mergeCell ref="A582:B582"/>
    <mergeCell ref="A583:B583"/>
    <mergeCell ref="A584:B584"/>
    <mergeCell ref="A585:B585"/>
    <mergeCell ref="A586:B586"/>
    <mergeCell ref="A587:B587"/>
    <mergeCell ref="A588:B588"/>
    <mergeCell ref="A589:B589"/>
    <mergeCell ref="A463:B463"/>
    <mergeCell ref="A464:B464"/>
    <mergeCell ref="A465:B465"/>
    <mergeCell ref="A466:B466"/>
    <mergeCell ref="A467:B467"/>
    <mergeCell ref="A468:B468"/>
    <mergeCell ref="A469:B469"/>
    <mergeCell ref="A452:B452"/>
    <mergeCell ref="A453:B453"/>
    <mergeCell ref="A454:B454"/>
    <mergeCell ref="A455:B455"/>
    <mergeCell ref="A456:B456"/>
    <mergeCell ref="A457:B457"/>
    <mergeCell ref="A458:B458"/>
    <mergeCell ref="A459:B459"/>
    <mergeCell ref="A460:B460"/>
    <mergeCell ref="A443:B443"/>
    <mergeCell ref="A444:B444"/>
    <mergeCell ref="A445:B445"/>
    <mergeCell ref="A446:B446"/>
    <mergeCell ref="A447:B447"/>
    <mergeCell ref="A448:B448"/>
    <mergeCell ref="A449:B449"/>
    <mergeCell ref="A450:B450"/>
    <mergeCell ref="A451:B451"/>
    <mergeCell ref="A434:B434"/>
    <mergeCell ref="A435:B435"/>
    <mergeCell ref="A436:B436"/>
    <mergeCell ref="A437:B437"/>
    <mergeCell ref="A438:B438"/>
    <mergeCell ref="A439:B439"/>
    <mergeCell ref="A440:B440"/>
    <mergeCell ref="A441:B441"/>
    <mergeCell ref="A442:B442"/>
    <mergeCell ref="A425:B425"/>
    <mergeCell ref="A426:B426"/>
    <mergeCell ref="A427:B427"/>
    <mergeCell ref="A428:B428"/>
    <mergeCell ref="A429:B429"/>
    <mergeCell ref="A430:B430"/>
    <mergeCell ref="A431:B431"/>
    <mergeCell ref="A432:B432"/>
    <mergeCell ref="A433:B433"/>
    <mergeCell ref="A416:B416"/>
    <mergeCell ref="A417:B417"/>
    <mergeCell ref="A418:B418"/>
    <mergeCell ref="A419:B419"/>
    <mergeCell ref="A420:B420"/>
    <mergeCell ref="A421:B421"/>
    <mergeCell ref="A422:B422"/>
    <mergeCell ref="A423:B423"/>
    <mergeCell ref="A424:B424"/>
    <mergeCell ref="A407:B407"/>
    <mergeCell ref="A408:B408"/>
    <mergeCell ref="A409:B409"/>
    <mergeCell ref="A410:B410"/>
    <mergeCell ref="A411:B411"/>
    <mergeCell ref="A412:B412"/>
    <mergeCell ref="A413:B413"/>
    <mergeCell ref="A414:B414"/>
    <mergeCell ref="A415:B415"/>
    <mergeCell ref="A398:B398"/>
    <mergeCell ref="A399:B399"/>
    <mergeCell ref="A400:B400"/>
    <mergeCell ref="A401:B401"/>
    <mergeCell ref="A402:B402"/>
    <mergeCell ref="A403:B403"/>
    <mergeCell ref="A404:B404"/>
    <mergeCell ref="A405:B405"/>
    <mergeCell ref="A406:B406"/>
    <mergeCell ref="A389:B389"/>
    <mergeCell ref="A390:B390"/>
    <mergeCell ref="A391:B391"/>
    <mergeCell ref="A392:B392"/>
    <mergeCell ref="A393:B393"/>
    <mergeCell ref="A394:B394"/>
    <mergeCell ref="A395:B395"/>
    <mergeCell ref="A396:B396"/>
    <mergeCell ref="A397:B397"/>
    <mergeCell ref="A380:B380"/>
    <mergeCell ref="A381:B381"/>
    <mergeCell ref="A382:B382"/>
    <mergeCell ref="A383:B383"/>
    <mergeCell ref="A384:B384"/>
    <mergeCell ref="A385:B385"/>
    <mergeCell ref="A386:B386"/>
    <mergeCell ref="A387:B387"/>
    <mergeCell ref="A388:B388"/>
    <mergeCell ref="A377:B377"/>
    <mergeCell ref="A378:B378"/>
    <mergeCell ref="A379:B379"/>
    <mergeCell ref="A370:B370"/>
    <mergeCell ref="A371:B371"/>
    <mergeCell ref="A372:B372"/>
    <mergeCell ref="A373:B373"/>
    <mergeCell ref="A348:B348"/>
    <mergeCell ref="A349:B349"/>
    <mergeCell ref="A357:B357"/>
    <mergeCell ref="A358:B358"/>
    <mergeCell ref="A359:B359"/>
    <mergeCell ref="A360:B360"/>
    <mergeCell ref="A361:B361"/>
    <mergeCell ref="A362:B362"/>
    <mergeCell ref="A350:B350"/>
    <mergeCell ref="A351:B351"/>
    <mergeCell ref="A352:B352"/>
    <mergeCell ref="A363:B363"/>
    <mergeCell ref="A365:B365"/>
    <mergeCell ref="A366:B366"/>
    <mergeCell ref="A299:B299"/>
    <mergeCell ref="A318:B318"/>
    <mergeCell ref="A319:B319"/>
    <mergeCell ref="A320:B320"/>
    <mergeCell ref="A321:B321"/>
    <mergeCell ref="A322:B322"/>
    <mergeCell ref="A323:B323"/>
    <mergeCell ref="A324:B324"/>
    <mergeCell ref="A325:B325"/>
    <mergeCell ref="A336:B336"/>
    <mergeCell ref="A309:B309"/>
    <mergeCell ref="A310:B310"/>
    <mergeCell ref="A311:B311"/>
    <mergeCell ref="A312:B312"/>
    <mergeCell ref="A313:B313"/>
    <mergeCell ref="A314:B314"/>
    <mergeCell ref="A326:B326"/>
    <mergeCell ref="A327:B327"/>
    <mergeCell ref="A328:B328"/>
    <mergeCell ref="A329:B329"/>
    <mergeCell ref="A330:B330"/>
    <mergeCell ref="A331:B331"/>
    <mergeCell ref="A242:B242"/>
    <mergeCell ref="A243:B243"/>
    <mergeCell ref="A244:B244"/>
    <mergeCell ref="A245:B245"/>
    <mergeCell ref="A246:B246"/>
    <mergeCell ref="A247:B247"/>
    <mergeCell ref="A248:B248"/>
    <mergeCell ref="A249:B249"/>
    <mergeCell ref="A250:B250"/>
    <mergeCell ref="A251:B251"/>
    <mergeCell ref="A252:B252"/>
    <mergeCell ref="A253:B253"/>
    <mergeCell ref="A254:B254"/>
    <mergeCell ref="A255:B255"/>
    <mergeCell ref="A256:B256"/>
    <mergeCell ref="A344:B344"/>
    <mergeCell ref="A346:B346"/>
    <mergeCell ref="A347:B347"/>
    <mergeCell ref="A374:B374"/>
    <mergeCell ref="A375:B375"/>
    <mergeCell ref="A376:B376"/>
    <mergeCell ref="A300:B300"/>
    <mergeCell ref="A301:B301"/>
    <mergeCell ref="A302:B302"/>
    <mergeCell ref="A303:B303"/>
    <mergeCell ref="A304:B304"/>
    <mergeCell ref="A305:B305"/>
    <mergeCell ref="A306:B306"/>
    <mergeCell ref="A307:B307"/>
    <mergeCell ref="A308:B308"/>
    <mergeCell ref="A264:B264"/>
    <mergeCell ref="A265:B265"/>
    <mergeCell ref="A266:B266"/>
    <mergeCell ref="A267:B267"/>
    <mergeCell ref="A268:B268"/>
    <mergeCell ref="A269:B269"/>
    <mergeCell ref="A270:B270"/>
    <mergeCell ref="A271:B271"/>
    <mergeCell ref="A272:B272"/>
    <mergeCell ref="A273:B273"/>
    <mergeCell ref="A278:B278"/>
    <mergeCell ref="A279:B279"/>
    <mergeCell ref="A280:B280"/>
    <mergeCell ref="A281:B281"/>
    <mergeCell ref="A282:B282"/>
    <mergeCell ref="A283:B283"/>
    <mergeCell ref="A315:B315"/>
    <mergeCell ref="A316:B316"/>
    <mergeCell ref="A317:B317"/>
    <mergeCell ref="A334:B334"/>
    <mergeCell ref="A335:B335"/>
    <mergeCell ref="A292:B292"/>
    <mergeCell ref="A293:B293"/>
    <mergeCell ref="A294:B294"/>
    <mergeCell ref="A295:B295"/>
    <mergeCell ref="A296:B296"/>
    <mergeCell ref="A297:B297"/>
    <mergeCell ref="A284:B284"/>
    <mergeCell ref="A285:B285"/>
    <mergeCell ref="A286:B286"/>
    <mergeCell ref="A298:B298"/>
    <mergeCell ref="A226:B226"/>
    <mergeCell ref="A227:B227"/>
    <mergeCell ref="A228:B228"/>
    <mergeCell ref="A229:B229"/>
    <mergeCell ref="A230:B230"/>
    <mergeCell ref="A231:B231"/>
    <mergeCell ref="A274:B274"/>
    <mergeCell ref="A275:B275"/>
    <mergeCell ref="A276:B276"/>
    <mergeCell ref="A277:B277"/>
    <mergeCell ref="A257:B257"/>
    <mergeCell ref="A258:B258"/>
    <mergeCell ref="A259:B259"/>
    <mergeCell ref="A260:B260"/>
    <mergeCell ref="A261:B261"/>
    <mergeCell ref="A262:B262"/>
    <mergeCell ref="A263:B263"/>
    <mergeCell ref="A232:B232"/>
    <mergeCell ref="A233:B233"/>
    <mergeCell ref="A234:B234"/>
    <mergeCell ref="A235:B235"/>
    <mergeCell ref="A236:B236"/>
    <mergeCell ref="A237:B237"/>
    <mergeCell ref="A238:B238"/>
    <mergeCell ref="A240:B240"/>
    <mergeCell ref="A241:B241"/>
    <mergeCell ref="A287:B287"/>
    <mergeCell ref="A288:B288"/>
    <mergeCell ref="A289:B289"/>
    <mergeCell ref="A290:B290"/>
    <mergeCell ref="A291:B291"/>
    <mergeCell ref="A209:B209"/>
    <mergeCell ref="A210:B210"/>
    <mergeCell ref="A211:B211"/>
    <mergeCell ref="A212:B212"/>
    <mergeCell ref="A213:B213"/>
    <mergeCell ref="A196:B196"/>
    <mergeCell ref="A197:B197"/>
    <mergeCell ref="A198:B198"/>
    <mergeCell ref="A199:B199"/>
    <mergeCell ref="A200:B200"/>
    <mergeCell ref="A201:B201"/>
    <mergeCell ref="A202:B202"/>
    <mergeCell ref="A203:B203"/>
    <mergeCell ref="A204:B204"/>
    <mergeCell ref="A223:B223"/>
    <mergeCell ref="A224:B224"/>
    <mergeCell ref="A225:B225"/>
    <mergeCell ref="A214:B214"/>
    <mergeCell ref="A215:B215"/>
    <mergeCell ref="A216:B216"/>
    <mergeCell ref="A217:B217"/>
    <mergeCell ref="A218:B218"/>
    <mergeCell ref="A219:B219"/>
    <mergeCell ref="A220:B220"/>
    <mergeCell ref="A221:B221"/>
    <mergeCell ref="A222:B222"/>
    <mergeCell ref="A239:G239"/>
    <mergeCell ref="A192:B192"/>
    <mergeCell ref="A193:B193"/>
    <mergeCell ref="A194:B194"/>
    <mergeCell ref="A195:B195"/>
    <mergeCell ref="A178:B178"/>
    <mergeCell ref="A179:B179"/>
    <mergeCell ref="A180:B180"/>
    <mergeCell ref="A181:B181"/>
    <mergeCell ref="A182:B182"/>
    <mergeCell ref="A183:B183"/>
    <mergeCell ref="A184:B184"/>
    <mergeCell ref="A185:B185"/>
    <mergeCell ref="A186:B186"/>
    <mergeCell ref="A205:B205"/>
    <mergeCell ref="A206:B206"/>
    <mergeCell ref="A207:B207"/>
    <mergeCell ref="A208:B208"/>
    <mergeCell ref="A175:B175"/>
    <mergeCell ref="A176:B176"/>
    <mergeCell ref="A177:B177"/>
    <mergeCell ref="A160:B160"/>
    <mergeCell ref="A161:B161"/>
    <mergeCell ref="A162:B162"/>
    <mergeCell ref="A163:B163"/>
    <mergeCell ref="A164:B164"/>
    <mergeCell ref="A165:B165"/>
    <mergeCell ref="A166:B166"/>
    <mergeCell ref="A167:B167"/>
    <mergeCell ref="A168:B168"/>
    <mergeCell ref="A187:B187"/>
    <mergeCell ref="A188:B188"/>
    <mergeCell ref="A189:B189"/>
    <mergeCell ref="A190:B190"/>
    <mergeCell ref="A191:B191"/>
    <mergeCell ref="A158:B158"/>
    <mergeCell ref="A159:B159"/>
    <mergeCell ref="A142:B142"/>
    <mergeCell ref="A143:B143"/>
    <mergeCell ref="A144:B144"/>
    <mergeCell ref="A145:B145"/>
    <mergeCell ref="A146:B146"/>
    <mergeCell ref="A147:B147"/>
    <mergeCell ref="A148:B148"/>
    <mergeCell ref="A149:B149"/>
    <mergeCell ref="A150:B150"/>
    <mergeCell ref="A169:B169"/>
    <mergeCell ref="A170:B170"/>
    <mergeCell ref="A171:B171"/>
    <mergeCell ref="A172:B172"/>
    <mergeCell ref="A173:B173"/>
    <mergeCell ref="A174:B174"/>
    <mergeCell ref="A151:B151"/>
    <mergeCell ref="A152:B152"/>
    <mergeCell ref="A153:B153"/>
    <mergeCell ref="A154:B154"/>
    <mergeCell ref="A155:B155"/>
    <mergeCell ref="A156:B156"/>
    <mergeCell ref="A157:B157"/>
    <mergeCell ref="A575:B575"/>
    <mergeCell ref="A552:B552"/>
    <mergeCell ref="A554:B554"/>
    <mergeCell ref="A555:B555"/>
    <mergeCell ref="A6:B6"/>
    <mergeCell ref="A11:B11"/>
    <mergeCell ref="A16:B16"/>
    <mergeCell ref="A7:B7"/>
    <mergeCell ref="A8:B8"/>
    <mergeCell ref="A31:B31"/>
    <mergeCell ref="A33:B33"/>
    <mergeCell ref="A564:B564"/>
    <mergeCell ref="A574:B574"/>
    <mergeCell ref="A573:B573"/>
    <mergeCell ref="A12:B12"/>
    <mergeCell ref="A13:B13"/>
    <mergeCell ref="A14:B14"/>
    <mergeCell ref="A15:B15"/>
    <mergeCell ref="A139:B139"/>
    <mergeCell ref="A140:B140"/>
    <mergeCell ref="A141:B141"/>
    <mergeCell ref="A563:B563"/>
    <mergeCell ref="A539:B539"/>
    <mergeCell ref="A558:B558"/>
    <mergeCell ref="A37:B37"/>
    <mergeCell ref="A38:B38"/>
    <mergeCell ref="A39:B39"/>
    <mergeCell ref="A40:B40"/>
    <mergeCell ref="A41:B41"/>
    <mergeCell ref="A42:B42"/>
    <mergeCell ref="A43:B43"/>
    <mergeCell ref="A2:F2"/>
    <mergeCell ref="A1:H1"/>
    <mergeCell ref="A3:B3"/>
    <mergeCell ref="A5:B5"/>
    <mergeCell ref="A4:B4"/>
    <mergeCell ref="A20:B20"/>
    <mergeCell ref="A36:B36"/>
    <mergeCell ref="A135:B135"/>
    <mergeCell ref="A136:B136"/>
    <mergeCell ref="A137:B137"/>
    <mergeCell ref="A138:B138"/>
    <mergeCell ref="A9:B9"/>
    <mergeCell ref="A10:B10"/>
    <mergeCell ref="A21:B21"/>
    <mergeCell ref="A29:B29"/>
    <mergeCell ref="A30:B30"/>
    <mergeCell ref="A47:B47"/>
    <mergeCell ref="A48:B48"/>
    <mergeCell ref="A49:B49"/>
    <mergeCell ref="A17:B17"/>
    <mergeCell ref="A18:B18"/>
    <mergeCell ref="A19:B19"/>
    <mergeCell ref="A22:B22"/>
    <mergeCell ref="A23:B23"/>
    <mergeCell ref="A24:B24"/>
    <mergeCell ref="A25:B25"/>
    <mergeCell ref="A32:B32"/>
    <mergeCell ref="A97:B97"/>
    <mergeCell ref="A98:B98"/>
    <mergeCell ref="A99:B99"/>
    <mergeCell ref="A56:B56"/>
    <mergeCell ref="A83:B83"/>
    <mergeCell ref="A84:B84"/>
    <mergeCell ref="A85:B85"/>
    <mergeCell ref="A86:B86"/>
    <mergeCell ref="A87:B87"/>
    <mergeCell ref="A88:B88"/>
    <mergeCell ref="A89:B89"/>
    <mergeCell ref="A90:B90"/>
    <mergeCell ref="A73:B73"/>
    <mergeCell ref="A74:B74"/>
    <mergeCell ref="A75:B75"/>
    <mergeCell ref="A50:B50"/>
    <mergeCell ref="A51:B51"/>
    <mergeCell ref="A27:B27"/>
    <mergeCell ref="A28:B28"/>
    <mergeCell ref="A26:B26"/>
    <mergeCell ref="A34:B34"/>
    <mergeCell ref="A35:B35"/>
    <mergeCell ref="A126:B126"/>
    <mergeCell ref="A109:B109"/>
    <mergeCell ref="A110:B110"/>
    <mergeCell ref="A111:B111"/>
    <mergeCell ref="A112:B112"/>
    <mergeCell ref="A113:B113"/>
    <mergeCell ref="A114:B114"/>
    <mergeCell ref="A115:B115"/>
    <mergeCell ref="A116:B116"/>
    <mergeCell ref="A117:B117"/>
    <mergeCell ref="A44:B44"/>
    <mergeCell ref="A45:B45"/>
    <mergeCell ref="A46:B46"/>
    <mergeCell ref="A52:B52"/>
    <mergeCell ref="A53:B53"/>
    <mergeCell ref="A54:B54"/>
    <mergeCell ref="A55:B55"/>
    <mergeCell ref="A72:B72"/>
    <mergeCell ref="A118:B118"/>
    <mergeCell ref="A119:B119"/>
    <mergeCell ref="A120:B120"/>
    <mergeCell ref="A121:B121"/>
    <mergeCell ref="A122:B122"/>
    <mergeCell ref="A123:B123"/>
    <mergeCell ref="A124:B124"/>
    <mergeCell ref="A125:B125"/>
    <mergeCell ref="A100:B100"/>
    <mergeCell ref="A101:B101"/>
    <mergeCell ref="A102:B102"/>
    <mergeCell ref="A103:B103"/>
    <mergeCell ref="A104:B104"/>
    <mergeCell ref="A105:B105"/>
    <mergeCell ref="A106:B106"/>
    <mergeCell ref="A107:B107"/>
    <mergeCell ref="A108:B108"/>
    <mergeCell ref="A91:B91"/>
    <mergeCell ref="A92:B92"/>
    <mergeCell ref="A93:B93"/>
    <mergeCell ref="A94:B94"/>
    <mergeCell ref="A95:B95"/>
    <mergeCell ref="A96:B96"/>
    <mergeCell ref="A76:B76"/>
    <mergeCell ref="A77:B77"/>
    <mergeCell ref="A78:B78"/>
    <mergeCell ref="A79:B79"/>
    <mergeCell ref="A80:B80"/>
    <mergeCell ref="A81:B81"/>
    <mergeCell ref="A82:B82"/>
    <mergeCell ref="A127:B127"/>
    <mergeCell ref="A128:B128"/>
    <mergeCell ref="A129:B129"/>
    <mergeCell ref="A130:B130"/>
    <mergeCell ref="A131:B131"/>
    <mergeCell ref="A132:B132"/>
    <mergeCell ref="A133:B133"/>
    <mergeCell ref="A134:B134"/>
    <mergeCell ref="A57:B57"/>
    <mergeCell ref="A58:B58"/>
    <mergeCell ref="A59:B59"/>
    <mergeCell ref="A60:B60"/>
    <mergeCell ref="A61:B61"/>
    <mergeCell ref="A62:B62"/>
    <mergeCell ref="A576:B576"/>
    <mergeCell ref="A577:B577"/>
    <mergeCell ref="A63:B63"/>
    <mergeCell ref="A64:B64"/>
    <mergeCell ref="A65:B65"/>
    <mergeCell ref="A66:B66"/>
    <mergeCell ref="A67:B67"/>
    <mergeCell ref="A68:B68"/>
    <mergeCell ref="A69:B69"/>
    <mergeCell ref="A70:B70"/>
    <mergeCell ref="A71:B71"/>
    <mergeCell ref="A565:B565"/>
    <mergeCell ref="A566:B566"/>
    <mergeCell ref="A567:B567"/>
    <mergeCell ref="A568:B568"/>
    <mergeCell ref="A569:B569"/>
    <mergeCell ref="A570:B570"/>
    <mergeCell ref="A559:B559"/>
    <mergeCell ref="A549:B549"/>
    <mergeCell ref="A628:B628"/>
    <mergeCell ref="A629:B629"/>
    <mergeCell ref="A630:B630"/>
    <mergeCell ref="A631:B631"/>
    <mergeCell ref="A632:B632"/>
    <mergeCell ref="A633:B633"/>
    <mergeCell ref="A634:B634"/>
    <mergeCell ref="A635:B635"/>
    <mergeCell ref="A636:B636"/>
    <mergeCell ref="A637:B637"/>
    <mergeCell ref="A638:B638"/>
    <mergeCell ref="A639:B639"/>
    <mergeCell ref="A640:B640"/>
    <mergeCell ref="A607:B607"/>
    <mergeCell ref="A608:B608"/>
    <mergeCell ref="A609:B609"/>
    <mergeCell ref="A610:B610"/>
    <mergeCell ref="A611:B611"/>
    <mergeCell ref="A612:B612"/>
    <mergeCell ref="A613:B613"/>
    <mergeCell ref="A614:B614"/>
    <mergeCell ref="A615:B615"/>
    <mergeCell ref="A616:B616"/>
    <mergeCell ref="A617:B617"/>
    <mergeCell ref="A618:B618"/>
    <mergeCell ref="A619:B619"/>
    <mergeCell ref="A620:B620"/>
    <mergeCell ref="A621:B621"/>
    <mergeCell ref="A622:B622"/>
    <mergeCell ref="A623:B623"/>
    <mergeCell ref="A658:B658"/>
    <mergeCell ref="A827:B827"/>
    <mergeCell ref="A548:B548"/>
    <mergeCell ref="A550:B550"/>
    <mergeCell ref="A551:B551"/>
    <mergeCell ref="A553:B553"/>
    <mergeCell ref="A556:B556"/>
    <mergeCell ref="A562:B562"/>
    <mergeCell ref="A624:B624"/>
    <mergeCell ref="A625:B625"/>
    <mergeCell ref="A626:B626"/>
    <mergeCell ref="A627:B627"/>
    <mergeCell ref="A590:B590"/>
    <mergeCell ref="A591:B591"/>
    <mergeCell ref="A592:B592"/>
    <mergeCell ref="A593:B593"/>
    <mergeCell ref="A594:B594"/>
    <mergeCell ref="A595:B595"/>
    <mergeCell ref="A596:B596"/>
    <mergeCell ref="A597:B597"/>
    <mergeCell ref="A598:B598"/>
    <mergeCell ref="A599:B599"/>
    <mergeCell ref="A600:B600"/>
    <mergeCell ref="A601:B601"/>
    <mergeCell ref="A602:B602"/>
    <mergeCell ref="A603:B603"/>
    <mergeCell ref="A604:B604"/>
    <mergeCell ref="A605:B605"/>
    <mergeCell ref="A606:B606"/>
    <mergeCell ref="A571:B571"/>
    <mergeCell ref="A572:B572"/>
    <mergeCell ref="A557:B557"/>
    <mergeCell ref="A841:B841"/>
    <mergeCell ref="C1265:F1265"/>
    <mergeCell ref="A843:B843"/>
    <mergeCell ref="A844:B844"/>
    <mergeCell ref="A845:B845"/>
    <mergeCell ref="A846:B846"/>
    <mergeCell ref="A847:B847"/>
    <mergeCell ref="A848:B848"/>
    <mergeCell ref="A849:B849"/>
    <mergeCell ref="A850:B850"/>
    <mergeCell ref="A851:B851"/>
    <mergeCell ref="A852:B852"/>
    <mergeCell ref="A853:B853"/>
    <mergeCell ref="A911:B911"/>
    <mergeCell ref="A641:B641"/>
    <mergeCell ref="A642:B642"/>
    <mergeCell ref="A643:B643"/>
    <mergeCell ref="A644:B644"/>
    <mergeCell ref="A645:B645"/>
    <mergeCell ref="A663:B663"/>
    <mergeCell ref="A664:B664"/>
    <mergeCell ref="A665:B665"/>
    <mergeCell ref="A666:B666"/>
    <mergeCell ref="A667:B667"/>
    <mergeCell ref="A668:B668"/>
    <mergeCell ref="A669:B669"/>
    <mergeCell ref="A670:B670"/>
    <mergeCell ref="A671:B671"/>
    <mergeCell ref="A654:B654"/>
    <mergeCell ref="A655:B655"/>
    <mergeCell ref="A656:B656"/>
    <mergeCell ref="A657:B657"/>
    <mergeCell ref="A828:B828"/>
    <mergeCell ref="A829:B829"/>
    <mergeCell ref="A830:B830"/>
    <mergeCell ref="A831:B831"/>
    <mergeCell ref="A832:B832"/>
    <mergeCell ref="A833:B833"/>
    <mergeCell ref="A834:B834"/>
    <mergeCell ref="A835:B835"/>
    <mergeCell ref="A836:B836"/>
    <mergeCell ref="A837:B837"/>
    <mergeCell ref="A838:B838"/>
    <mergeCell ref="A839:B839"/>
    <mergeCell ref="A1269:H1269"/>
    <mergeCell ref="A1270:H1270"/>
    <mergeCell ref="A797:B797"/>
    <mergeCell ref="A798:B798"/>
    <mergeCell ref="A799:B799"/>
    <mergeCell ref="A800:B800"/>
    <mergeCell ref="A801:B801"/>
    <mergeCell ref="A802:B802"/>
    <mergeCell ref="A803:B803"/>
    <mergeCell ref="A804:B804"/>
    <mergeCell ref="A805:B805"/>
    <mergeCell ref="A806:B806"/>
    <mergeCell ref="A807:B807"/>
    <mergeCell ref="A808:B808"/>
    <mergeCell ref="A809:B809"/>
    <mergeCell ref="A810:B810"/>
    <mergeCell ref="A811:B811"/>
    <mergeCell ref="A840:B840"/>
    <mergeCell ref="G1265:H1265"/>
    <mergeCell ref="C1264:F1264"/>
    <mergeCell ref="G1264:H1264"/>
    <mergeCell ref="A1260:B1260"/>
    <mergeCell ref="C1260:F1260"/>
    <mergeCell ref="G1260:H1260"/>
    <mergeCell ref="C1266:F1266"/>
    <mergeCell ref="G1266:H1266"/>
    <mergeCell ref="A812:B812"/>
    <mergeCell ref="A813:B813"/>
    <mergeCell ref="A814:B814"/>
    <mergeCell ref="A815:B815"/>
    <mergeCell ref="A816:B816"/>
    <mergeCell ref="A817:B817"/>
    <mergeCell ref="A818:B818"/>
    <mergeCell ref="A819:B819"/>
    <mergeCell ref="A820:B820"/>
    <mergeCell ref="A821:B821"/>
    <mergeCell ref="A822:B822"/>
    <mergeCell ref="A823:B823"/>
    <mergeCell ref="A824:B824"/>
    <mergeCell ref="A825:B825"/>
    <mergeCell ref="A826:B826"/>
    <mergeCell ref="A653:B653"/>
    <mergeCell ref="A909:B909"/>
    <mergeCell ref="A876:B876"/>
    <mergeCell ref="A877:B877"/>
    <mergeCell ref="A878:B878"/>
    <mergeCell ref="A879:B879"/>
    <mergeCell ref="A880:B880"/>
    <mergeCell ref="A881:B881"/>
    <mergeCell ref="A882:B882"/>
    <mergeCell ref="A883:B883"/>
    <mergeCell ref="A884:B884"/>
    <mergeCell ref="A885:B885"/>
    <mergeCell ref="A886:B886"/>
    <mergeCell ref="A887:B887"/>
    <mergeCell ref="A888:B888"/>
    <mergeCell ref="A889:B889"/>
    <mergeCell ref="A890:B890"/>
    <mergeCell ref="A891:B891"/>
    <mergeCell ref="A892:B892"/>
    <mergeCell ref="A776:G776"/>
    <mergeCell ref="A796:B796"/>
    <mergeCell ref="A910:B910"/>
    <mergeCell ref="A1015:G1015"/>
    <mergeCell ref="A1032:B1032"/>
    <mergeCell ref="A1033:B1033"/>
    <mergeCell ref="A1034:B1034"/>
    <mergeCell ref="A1035:B1035"/>
    <mergeCell ref="A1036:B1036"/>
    <mergeCell ref="A1037:B1037"/>
    <mergeCell ref="A1038:B1038"/>
    <mergeCell ref="A1039:B1039"/>
    <mergeCell ref="A1040:B1040"/>
    <mergeCell ref="A1041:B1041"/>
    <mergeCell ref="A1042:B1042"/>
    <mergeCell ref="A1043:B1043"/>
    <mergeCell ref="A1044:B1044"/>
    <mergeCell ref="A893:B893"/>
    <mergeCell ref="A894:B894"/>
    <mergeCell ref="A895:B895"/>
    <mergeCell ref="A896:B896"/>
    <mergeCell ref="A897:B897"/>
    <mergeCell ref="A898:B898"/>
    <mergeCell ref="A899:B899"/>
    <mergeCell ref="A900:B900"/>
    <mergeCell ref="A901:B901"/>
    <mergeCell ref="A902:B902"/>
    <mergeCell ref="A903:B903"/>
    <mergeCell ref="A904:B904"/>
    <mergeCell ref="A905:B905"/>
    <mergeCell ref="A906:B906"/>
    <mergeCell ref="A907:B907"/>
    <mergeCell ref="C1261:F1261"/>
    <mergeCell ref="G1261:H1261"/>
    <mergeCell ref="A1251:G1251"/>
    <mergeCell ref="A1263:B1263"/>
    <mergeCell ref="C1263:F1263"/>
    <mergeCell ref="G1263:H1263"/>
    <mergeCell ref="A1262:B1262"/>
    <mergeCell ref="C1262:F1262"/>
    <mergeCell ref="G1262:H1262"/>
    <mergeCell ref="A1254:F1254"/>
    <mergeCell ref="A1261:B1261"/>
    <mergeCell ref="A1258:B1258"/>
    <mergeCell ref="C1258:F1258"/>
    <mergeCell ref="G1258:H1258"/>
    <mergeCell ref="A1256:H1256"/>
    <mergeCell ref="A1259:B1259"/>
    <mergeCell ref="C1259:F1259"/>
    <mergeCell ref="G1259:H1259"/>
    <mergeCell ref="A792:B792"/>
    <mergeCell ref="A794:B794"/>
    <mergeCell ref="A781:B781"/>
    <mergeCell ref="A795:B795"/>
    <mergeCell ref="A1272:H1272"/>
    <mergeCell ref="A1273:H1273"/>
    <mergeCell ref="A1274:H1274"/>
    <mergeCell ref="A1268:H1268"/>
  </mergeCells>
  <phoneticPr fontId="15" type="noConversion"/>
  <conditionalFormatting sqref="C6:C30 C269:C296 C324:C392 E338:E340 E368:E370 C779:C806">
    <cfRule type="cellIs" dxfId="296" priority="45" operator="equal">
      <formula>0</formula>
    </cfRule>
  </conditionalFormatting>
  <conditionalFormatting sqref="C32:C56">
    <cfRule type="cellIs" dxfId="295" priority="44" operator="equal">
      <formula>0</formula>
    </cfRule>
  </conditionalFormatting>
  <conditionalFormatting sqref="C58:C82">
    <cfRule type="cellIs" dxfId="294" priority="43" operator="equal">
      <formula>0</formula>
    </cfRule>
  </conditionalFormatting>
  <conditionalFormatting sqref="C84:C108">
    <cfRule type="cellIs" dxfId="293" priority="42" operator="equal">
      <formula>0</formula>
    </cfRule>
  </conditionalFormatting>
  <conditionalFormatting sqref="C110:C134">
    <cfRule type="cellIs" dxfId="292" priority="41" operator="equal">
      <formula>0</formula>
    </cfRule>
  </conditionalFormatting>
  <conditionalFormatting sqref="C136:C160">
    <cfRule type="cellIs" dxfId="291" priority="40" operator="equal">
      <formula>0</formula>
    </cfRule>
  </conditionalFormatting>
  <conditionalFormatting sqref="C162:C186">
    <cfRule type="cellIs" dxfId="290" priority="39" operator="equal">
      <formula>0</formula>
    </cfRule>
  </conditionalFormatting>
  <conditionalFormatting sqref="C188:C212">
    <cfRule type="cellIs" dxfId="289" priority="38" operator="equal">
      <formula>0</formula>
    </cfRule>
  </conditionalFormatting>
  <conditionalFormatting sqref="C214:C238">
    <cfRule type="cellIs" dxfId="288" priority="37" operator="equal">
      <formula>0</formula>
    </cfRule>
  </conditionalFormatting>
  <conditionalFormatting sqref="C241">
    <cfRule type="cellIs" dxfId="287" priority="1" operator="equal">
      <formula>0</formula>
    </cfRule>
  </conditionalFormatting>
  <conditionalFormatting sqref="C243:C267 C526:C567 C1018:C1042">
    <cfRule type="cellIs" dxfId="286" priority="26" operator="equal">
      <formula>0</formula>
    </cfRule>
  </conditionalFormatting>
  <conditionalFormatting sqref="C298:C322 C595:C619 C834:C858 C1070:C1094">
    <cfRule type="cellIs" dxfId="285" priority="24" operator="equal">
      <formula>0</formula>
    </cfRule>
  </conditionalFormatting>
  <conditionalFormatting sqref="C394:C418 C647:C671 C886:C910 C1122:C1146">
    <cfRule type="cellIs" dxfId="284" priority="22" operator="equal">
      <formula>0</formula>
    </cfRule>
  </conditionalFormatting>
  <conditionalFormatting sqref="C420:C444 C673:C697 C912:C936 C1148:C1172">
    <cfRule type="cellIs" dxfId="283" priority="21" operator="equal">
      <formula>0</formula>
    </cfRule>
  </conditionalFormatting>
  <conditionalFormatting sqref="C446:C470 C699:C723 C938:C962 C1174:C1198">
    <cfRule type="cellIs" dxfId="282" priority="20" operator="equal">
      <formula>0</formula>
    </cfRule>
  </conditionalFormatting>
  <conditionalFormatting sqref="C472:C496 C725:C749 C964:C988 C1200:C1224">
    <cfRule type="cellIs" dxfId="281" priority="19" operator="equal">
      <formula>0</formula>
    </cfRule>
  </conditionalFormatting>
  <conditionalFormatting sqref="C498:C522 C751:C775 C990:C1014 C1226:C1250">
    <cfRule type="cellIs" dxfId="280" priority="18" operator="equal">
      <formula>0</formula>
    </cfRule>
  </conditionalFormatting>
  <conditionalFormatting sqref="C569:C593 C808:C832 C1044:C1068">
    <cfRule type="cellIs" dxfId="279" priority="25" operator="equal">
      <formula>0</formula>
    </cfRule>
  </conditionalFormatting>
  <conditionalFormatting sqref="C621:C645 C860:C884 C1096:C1120">
    <cfRule type="cellIs" dxfId="278" priority="23" operator="equal">
      <formula>0</formula>
    </cfRule>
  </conditionalFormatting>
  <conditionalFormatting sqref="D6:D30 D338:D340 D368:D370">
    <cfRule type="cellIs" dxfId="277" priority="4128" operator="equal">
      <formula>0</formula>
    </cfRule>
  </conditionalFormatting>
  <conditionalFormatting sqref="D32:D56">
    <cfRule type="cellIs" dxfId="276" priority="3087" operator="equal">
      <formula>0</formula>
    </cfRule>
  </conditionalFormatting>
  <conditionalFormatting sqref="D58:D82">
    <cfRule type="cellIs" dxfId="275" priority="3055" operator="equal">
      <formula>0</formula>
    </cfRule>
  </conditionalFormatting>
  <conditionalFormatting sqref="D84:D108">
    <cfRule type="cellIs" dxfId="274" priority="3023" operator="equal">
      <formula>0</formula>
    </cfRule>
  </conditionalFormatting>
  <conditionalFormatting sqref="D110:D134 D136:D160 D162:D186 D188:D212 D214:D238">
    <cfRule type="cellIs" dxfId="273" priority="2991" operator="equal">
      <formula>0</formula>
    </cfRule>
  </conditionalFormatting>
  <conditionalFormatting sqref="D243:D267 D528:D529 D531:D533 D535:D541 D544:D545 D547:D549 D551:D567 D780:D784 D786:D789 D792 D794 D796:D806 D1018:D1042">
    <cfRule type="cellIs" dxfId="272" priority="35" operator="equal">
      <formula>0</formula>
    </cfRule>
  </conditionalFormatting>
  <conditionalFormatting sqref="D270:D272 D274:D281 D283:D296 D569:D593 D808:D832 D1044:D1068">
    <cfRule type="cellIs" dxfId="271" priority="33" operator="equal">
      <formula>0</formula>
    </cfRule>
  </conditionalFormatting>
  <conditionalFormatting sqref="D299:D322 D596:D599 D601:D619 D834:D858 D1070:D1094">
    <cfRule type="cellIs" dxfId="270" priority="31" operator="equal">
      <formula>0</formula>
    </cfRule>
  </conditionalFormatting>
  <conditionalFormatting sqref="D326 D328 D330:D332 D334:D336 D342 D344 D346 D349:D352 D354 D356:D358 D360:D362 D364:D366 D372 D374 D376:D392 D621:D645 D860:D884 D1096:D1120">
    <cfRule type="cellIs" dxfId="269" priority="29" operator="equal">
      <formula>0</formula>
    </cfRule>
  </conditionalFormatting>
  <conditionalFormatting sqref="D394:D418 D420:D444 D446:D470 D472:D496 D498:D522 D647:D671 D673:D697 D699:D723 D725:D749 D751:D775 D886:D910 D912:D936 D938:D962 D964:D988 D990:D1014 D1122:D1146 D1148:D1172 D1174:D1198 D1200:D1224 D1226:D1250">
    <cfRule type="cellIs" dxfId="268" priority="27" operator="equal">
      <formula>0</formula>
    </cfRule>
  </conditionalFormatting>
  <conditionalFormatting sqref="E6:E30">
    <cfRule type="cellIs" dxfId="267" priority="6943" operator="equal">
      <formula>0</formula>
    </cfRule>
  </conditionalFormatting>
  <conditionalFormatting sqref="E32:E56">
    <cfRule type="cellIs" dxfId="266" priority="3101" operator="equal">
      <formula>0</formula>
    </cfRule>
  </conditionalFormatting>
  <conditionalFormatting sqref="E58:E82">
    <cfRule type="cellIs" dxfId="265" priority="3069" operator="equal">
      <formula>0</formula>
    </cfRule>
  </conditionalFormatting>
  <conditionalFormatting sqref="E84:E108">
    <cfRule type="cellIs" dxfId="264" priority="3037" operator="equal">
      <formula>0</formula>
    </cfRule>
  </conditionalFormatting>
  <conditionalFormatting sqref="E110:E134 E136:E160 E162:E186 E188:E212 E214:E238">
    <cfRule type="cellIs" dxfId="263" priority="3005" operator="equal">
      <formula>0</formula>
    </cfRule>
  </conditionalFormatting>
  <conditionalFormatting sqref="E243:E267 E528:E529 E531:E533 E535:E541 E544:E545 E547:E549 E551:E567 E780:E784 E786:E789 E792 E794 E796:E806 E1018:E1042">
    <cfRule type="cellIs" dxfId="262" priority="36" operator="equal">
      <formula>0</formula>
    </cfRule>
  </conditionalFormatting>
  <conditionalFormatting sqref="E270:E272 E274:E281 E283:E296 E569:E593 E808:E832 E1044:E1068">
    <cfRule type="cellIs" dxfId="261" priority="34" operator="equal">
      <formula>0</formula>
    </cfRule>
  </conditionalFormatting>
  <conditionalFormatting sqref="E299:E322 E596:E599 E601:E619 E834:E858 E1070:E1094">
    <cfRule type="cellIs" dxfId="260" priority="32" operator="equal">
      <formula>0</formula>
    </cfRule>
  </conditionalFormatting>
  <conditionalFormatting sqref="E326 E328 E330:E332 E334:E336 E342 E344 E346 E349:E352 E354 E356:E358 E360:E362 E364:E366 E372 E374 E376:E392 E621:E645 E860:E884 E1096:E1120">
    <cfRule type="cellIs" dxfId="259" priority="30" operator="equal">
      <formula>0</formula>
    </cfRule>
  </conditionalFormatting>
  <conditionalFormatting sqref="E394:E418 E420:E444 E446:E470 E472:E496 E498:E522 E647:E671 E673:E697 E699:E723 E725:E749 E751:E775 E886:E910 E912:E936 E938:E962 E964:E988 E990:E1014 E1122:E1146 E1148:E1172 E1174:E1198 E1200:E1224 E1226:E1250">
    <cfRule type="cellIs" dxfId="258" priority="28" operator="equal">
      <formula>0</formula>
    </cfRule>
  </conditionalFormatting>
  <printOptions horizontalCentered="1"/>
  <pageMargins left="0.23622047244094491" right="0.23622047244094491" top="0.74803149606299213" bottom="0.74803149606299213" header="0.31496062992125984" footer="0.31496062992125984"/>
  <pageSetup paperSize="9" fitToHeight="0" orientation="portrait" r:id="rId1"/>
  <headerFooter alignWithMargins="0">
    <oddFooter>Page &amp;P de &amp;N</oddFooter>
  </headerFooter>
  <rowBreaks count="2" manualBreakCount="2">
    <brk id="593" max="16383" man="1"/>
    <brk id="1252" max="16383" man="1"/>
  </rowBreaks>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44F91205-1B5F-4964-BE99-B8AE6D2C2EDE}">
          <x14:formula1>
            <xm:f>#REF!</xm:f>
          </x14:formula1>
          <xm:sqref>D58:D82 D32:D56 D84:D108 D110:D134 D136:D160 D162:D186 D188:D212 D214:D238 D1018:D1042 D834:D858 D808:D832 D860:D884 D886:D910 D912:D936 D938:D962 D964:D988 D990:D1014 D299:D322 D270:D272 D6:D30 D547:D549 D394:D418 D420:D444 D446:D470 D472:D496 D498:D522 D243:D267 D531:D533 D569:D593 D621:D645 D647:D671 D673:D697 D699:D723 D725:D749 D751:D775 D796:D806 D1070:D1094 D1044:D1068 D1096:D1120 D1122:D1146 D1148:D1172 D1174:D1198 D1200:D1224 D1226:D1250 D283:D296 D274:D281 D780:D784 D786:D789 D792 D794 D535:D541 D368:D370 D601:D619 D551:D567 D528:D529 D596:D599 D346 D326 D328 D330:D332 D334:D336 D342 D344 D338:D340 D354 D349:D352 D356:D358 D376:D392 D372 D374 D360:D362 D364:D366 D544:D545</xm:sqref>
        </x14:dataValidation>
      </x14:dataValidations>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DPGF LOT N°---</vt:lpstr>
      <vt:lpstr>'DPGF LOT N°---'!Zone_d_impression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ludovic garcia</dc:creator>
  <cp:lastModifiedBy>Utilisateur</cp:lastModifiedBy>
  <cp:lastPrinted>2026-07-09T15:16:23Z</cp:lastPrinted>
  <dcterms:created xsi:type="dcterms:W3CDTF">2004-06-22T14:26:26Z</dcterms:created>
  <dcterms:modified xsi:type="dcterms:W3CDTF">2026-07-09T15:16:36Z</dcterms:modified>
</cp:coreProperties>
</file>