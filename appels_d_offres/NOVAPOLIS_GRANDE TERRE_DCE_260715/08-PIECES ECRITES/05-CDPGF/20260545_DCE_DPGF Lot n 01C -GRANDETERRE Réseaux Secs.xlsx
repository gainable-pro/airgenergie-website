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01 - Projets en cours\P26-17 - Aureille - Grande Terre\02 - Conception\03-Données\05-BET et Labels\06-VRD\03-PRO DCE\260527\01-DPGF\"/>
    </mc:Choice>
  </mc:AlternateContent>
  <xr:revisionPtr revIDLastSave="0" documentId="13_ncr:1_{FEC5BD7E-71A9-4CB8-80A2-3BBF4E7C23FB}" xr6:coauthVersionLast="47" xr6:coauthVersionMax="47" xr10:uidLastSave="{00000000-0000-0000-0000-000000000000}"/>
  <bookViews>
    <workbookView xWindow="-33560" yWindow="1100" windowWidth="32570" windowHeight="19250" xr2:uid="{00000000-000D-0000-FFFF-FFFF00000000}"/>
  </bookViews>
  <sheets>
    <sheet name="DPGF LOT1C" sheetId="1" r:id="rId1"/>
  </sheets>
  <definedNames>
    <definedName name="_xlnm.Print_Titles" localSheetId="0">'DPGF LOT1C'!$2:$2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41" i="1" l="1"/>
  <c r="M36" i="1"/>
  <c r="K11" i="1" l="1"/>
  <c r="K13" i="1" s="1"/>
  <c r="K15" i="1" s="1"/>
  <c r="M40" i="1"/>
  <c r="M48" i="1"/>
  <c r="K14" i="1"/>
  <c r="M42" i="1"/>
  <c r="M53" i="1"/>
  <c r="M52" i="1"/>
  <c r="M51" i="1"/>
  <c r="M15" i="1" l="1"/>
  <c r="K18" i="1"/>
  <c r="M18" i="1" s="1"/>
  <c r="M14" i="1"/>
  <c r="M5" i="1"/>
  <c r="M6" i="1"/>
  <c r="M7" i="1"/>
  <c r="M8" i="1"/>
  <c r="M9" i="1"/>
  <c r="M10" i="1"/>
  <c r="M11" i="1"/>
  <c r="M12" i="1"/>
  <c r="M13" i="1"/>
  <c r="M16" i="1"/>
  <c r="M17" i="1"/>
  <c r="M19" i="1"/>
  <c r="M23" i="1"/>
  <c r="M30" i="1" s="1"/>
  <c r="M24" i="1"/>
  <c r="M25" i="1"/>
  <c r="M26" i="1"/>
  <c r="M27" i="1"/>
  <c r="M28" i="1"/>
  <c r="M29" i="1"/>
  <c r="M34" i="1"/>
  <c r="M43" i="1" s="1"/>
  <c r="M35" i="1"/>
  <c r="M38" i="1"/>
  <c r="M39" i="1"/>
  <c r="M46" i="1"/>
  <c r="M54" i="1" s="1"/>
  <c r="M47" i="1"/>
  <c r="M49" i="1"/>
  <c r="M50" i="1"/>
  <c r="M4" i="1"/>
  <c r="M20" i="1" s="1"/>
  <c r="M55" i="1" l="1"/>
  <c r="M56" i="1" s="1"/>
  <c r="M57" i="1" s="1"/>
</calcChain>
</file>

<file path=xl/sharedStrings.xml><?xml version="1.0" encoding="utf-8"?>
<sst xmlns="http://schemas.openxmlformats.org/spreadsheetml/2006/main" count="129" uniqueCount="99">
  <si>
    <r>
      <rPr>
        <b/>
        <sz val="9.5"/>
        <rFont val="Candara"/>
        <family val="2"/>
      </rPr>
      <t>N°</t>
    </r>
  </si>
  <si>
    <r>
      <rPr>
        <b/>
        <sz val="9.5"/>
        <rFont val="Candara"/>
        <family val="2"/>
      </rPr>
      <t>U</t>
    </r>
  </si>
  <si>
    <r>
      <rPr>
        <b/>
        <sz val="9.5"/>
        <rFont val="Candara"/>
        <family val="2"/>
      </rPr>
      <t>PU</t>
    </r>
  </si>
  <si>
    <r>
      <rPr>
        <b/>
        <sz val="7.5"/>
        <rFont val="Candara"/>
        <family val="2"/>
      </rPr>
      <t>Quantités</t>
    </r>
  </si>
  <si>
    <r>
      <rPr>
        <b/>
        <sz val="9.5"/>
        <rFont val="Candara"/>
        <family val="2"/>
      </rPr>
      <t>Montant</t>
    </r>
    <r>
      <rPr>
        <sz val="9.5"/>
        <rFont val="Times New Roman"/>
        <family val="1"/>
      </rPr>
      <t xml:space="preserve"> </t>
    </r>
    <r>
      <rPr>
        <b/>
        <sz val="9.5"/>
        <rFont val="Candara"/>
        <family val="2"/>
      </rPr>
      <t>H.T.</t>
    </r>
  </si>
  <si>
    <r>
      <rPr>
        <sz val="9.5"/>
        <rFont val="Candara"/>
        <family val="2"/>
      </rPr>
      <t>01.1</t>
    </r>
  </si>
  <si>
    <r>
      <rPr>
        <sz val="9.5"/>
        <rFont val="Candara"/>
        <family val="2"/>
      </rPr>
      <t>f</t>
    </r>
  </si>
  <si>
    <r>
      <rPr>
        <sz val="9.5"/>
        <rFont val="Candara"/>
        <family val="2"/>
      </rPr>
      <t>01.2</t>
    </r>
  </si>
  <si>
    <r>
      <rPr>
        <sz val="9.5"/>
        <rFont val="Candara"/>
        <family val="2"/>
      </rPr>
      <t>01.3</t>
    </r>
  </si>
  <si>
    <r>
      <rPr>
        <sz val="9.5"/>
        <rFont val="Candara"/>
        <family val="2"/>
      </rPr>
      <t>01.4</t>
    </r>
  </si>
  <si>
    <r>
      <rPr>
        <sz val="9.5"/>
        <rFont val="Candara"/>
        <family val="2"/>
      </rPr>
      <t>01.5</t>
    </r>
  </si>
  <si>
    <r>
      <rPr>
        <sz val="9.5"/>
        <rFont val="Candara"/>
        <family val="2"/>
      </rPr>
      <t>ml</t>
    </r>
  </si>
  <si>
    <r>
      <rPr>
        <sz val="9.5"/>
        <rFont val="Candara"/>
        <family val="2"/>
      </rPr>
      <t>01.6</t>
    </r>
  </si>
  <si>
    <r>
      <rPr>
        <sz val="9.5"/>
        <rFont val="Candara"/>
        <family val="2"/>
      </rPr>
      <t>m2</t>
    </r>
  </si>
  <si>
    <r>
      <rPr>
        <sz val="9.5"/>
        <rFont val="Candara"/>
        <family val="2"/>
      </rPr>
      <t>01.7</t>
    </r>
  </si>
  <si>
    <r>
      <rPr>
        <sz val="9.5"/>
        <rFont val="Candara"/>
        <family val="2"/>
      </rPr>
      <t>01.8</t>
    </r>
  </si>
  <si>
    <r>
      <rPr>
        <sz val="9.5"/>
        <rFont val="Candara"/>
        <family val="2"/>
      </rPr>
      <t>m3</t>
    </r>
  </si>
  <si>
    <r>
      <rPr>
        <sz val="9.5"/>
        <rFont val="Candara"/>
        <family val="2"/>
      </rPr>
      <t>01.9</t>
    </r>
  </si>
  <si>
    <r>
      <rPr>
        <sz val="9.5"/>
        <rFont val="Candara"/>
        <family val="2"/>
      </rPr>
      <t>01.10</t>
    </r>
  </si>
  <si>
    <r>
      <rPr>
        <sz val="9.5"/>
        <rFont val="Candara"/>
        <family val="2"/>
      </rPr>
      <t>01.11</t>
    </r>
  </si>
  <si>
    <r>
      <rPr>
        <sz val="9.5"/>
        <rFont val="Candara"/>
        <family val="2"/>
      </rPr>
      <t>01.12</t>
    </r>
  </si>
  <si>
    <r>
      <rPr>
        <sz val="9.5"/>
        <rFont val="Candara"/>
        <family val="2"/>
      </rPr>
      <t>01.13</t>
    </r>
  </si>
  <si>
    <r>
      <rPr>
        <sz val="9.5"/>
        <rFont val="Candara"/>
        <family val="2"/>
      </rPr>
      <t>u</t>
    </r>
  </si>
  <si>
    <r>
      <rPr>
        <sz val="9.5"/>
        <rFont val="Candara"/>
        <family val="2"/>
      </rPr>
      <t>01.14</t>
    </r>
  </si>
  <si>
    <r>
      <rPr>
        <sz val="9.5"/>
        <rFont val="Candara"/>
        <family val="2"/>
      </rPr>
      <t>01.15</t>
    </r>
  </si>
  <si>
    <r>
      <rPr>
        <sz val="9.5"/>
        <rFont val="Candara"/>
        <family val="2"/>
      </rPr>
      <t>01.16</t>
    </r>
  </si>
  <si>
    <r>
      <rPr>
        <sz val="9.5"/>
        <rFont val="Candara"/>
        <family val="2"/>
      </rPr>
      <t>02.1</t>
    </r>
  </si>
  <si>
    <r>
      <rPr>
        <sz val="9.5"/>
        <rFont val="Candara"/>
        <family val="2"/>
      </rPr>
      <t>02.2</t>
    </r>
  </si>
  <si>
    <r>
      <rPr>
        <sz val="9.5"/>
        <rFont val="Candara"/>
        <family val="2"/>
      </rPr>
      <t>02.3</t>
    </r>
  </si>
  <si>
    <r>
      <rPr>
        <sz val="9.5"/>
        <rFont val="Candara"/>
        <family val="2"/>
      </rPr>
      <t>02.4</t>
    </r>
  </si>
  <si>
    <r>
      <rPr>
        <sz val="9.5"/>
        <rFont val="Candara"/>
        <family val="2"/>
      </rPr>
      <t>02.5</t>
    </r>
  </si>
  <si>
    <r>
      <rPr>
        <sz val="9.5"/>
        <rFont val="Candara"/>
        <family val="2"/>
      </rPr>
      <t>03.1</t>
    </r>
  </si>
  <si>
    <r>
      <rPr>
        <sz val="9.5"/>
        <rFont val="Candara"/>
        <family val="2"/>
      </rPr>
      <t>04.3</t>
    </r>
  </si>
  <si>
    <r>
      <rPr>
        <sz val="9.5"/>
        <rFont val="Candara"/>
        <family val="2"/>
      </rPr>
      <t>04.4</t>
    </r>
  </si>
  <si>
    <r>
      <rPr>
        <sz val="9.5"/>
        <rFont val="Candara"/>
        <family val="2"/>
      </rPr>
      <t>04.5</t>
    </r>
  </si>
  <si>
    <r>
      <rPr>
        <sz val="9.5"/>
        <rFont val="Candara"/>
        <family val="2"/>
      </rPr>
      <t>04.6</t>
    </r>
  </si>
  <si>
    <t>Terrassements pour réseaux</t>
  </si>
  <si>
    <t>Frais divers</t>
  </si>
  <si>
    <t>Installations de chantier</t>
  </si>
  <si>
    <t>Grillage avertisseur</t>
  </si>
  <si>
    <t>Essais de compactage des tranchées</t>
  </si>
  <si>
    <t>Total HT 01</t>
  </si>
  <si>
    <t>Eclairage extérieur</t>
  </si>
  <si>
    <t>Mise à la terre</t>
  </si>
  <si>
    <t>Essais - Contrôles</t>
  </si>
  <si>
    <t>Total HT 02</t>
  </si>
  <si>
    <t>Télécommunications</t>
  </si>
  <si>
    <t>Chambres de tirage</t>
  </si>
  <si>
    <t>b) Type L2C sans compris L2C sans fond pour raccordement sur conduites existantes</t>
  </si>
  <si>
    <t>Total HT 03</t>
  </si>
  <si>
    <t>Canalisation de distribution basse tension aluminium</t>
  </si>
  <si>
    <t>Tranchées</t>
  </si>
  <si>
    <t xml:space="preserve">Sondages de recherche de canalisations </t>
  </si>
  <si>
    <t xml:space="preserve">Décapage - Rabotage de revêtement </t>
  </si>
  <si>
    <t xml:space="preserve">Découpe de revêtement enrobés </t>
  </si>
  <si>
    <t xml:space="preserve">Etude de synthèse / Exécution / DOE </t>
  </si>
  <si>
    <t xml:space="preserve">Implantation - Piquetage - Traçage </t>
  </si>
  <si>
    <t>Evacuation aux décharges</t>
  </si>
  <si>
    <t xml:space="preserve">Reconstitution de chaussée </t>
  </si>
  <si>
    <t xml:space="preserve">Remblais en GNT 0/31.5  </t>
  </si>
  <si>
    <t>Percements / Rebouchages</t>
  </si>
  <si>
    <t xml:space="preserve">Fourreaux polyéthylène </t>
  </si>
  <si>
    <t>Circuit de terre</t>
  </si>
  <si>
    <t xml:space="preserve">Câble d'alimentation souterrain section 5G10 </t>
  </si>
  <si>
    <t>Sablon</t>
  </si>
  <si>
    <t>Terrassements ponctuels à l'excavatrice aspiratrice</t>
  </si>
  <si>
    <t>Coffret REMBT 600</t>
  </si>
  <si>
    <t>Total HT 04</t>
  </si>
  <si>
    <t>Montant HT LOT N° 01C</t>
  </si>
  <si>
    <t>TVA 20 %</t>
  </si>
  <si>
    <t>Montant T.T.C. LOT N° 01C</t>
  </si>
  <si>
    <t>u</t>
  </si>
  <si>
    <t>Regard de tirage et raccordement</t>
  </si>
  <si>
    <t>Raccordements sur reseau existant</t>
  </si>
  <si>
    <t>ft</t>
  </si>
  <si>
    <r>
      <rPr>
        <b/>
        <sz val="9.5"/>
        <rFont val="Candara"/>
        <family val="2"/>
      </rPr>
      <t>LOT</t>
    </r>
    <r>
      <rPr>
        <sz val="9.5"/>
        <rFont val="Times New Roman"/>
        <family val="1"/>
      </rPr>
      <t xml:space="preserve"> </t>
    </r>
    <r>
      <rPr>
        <b/>
        <sz val="9.5"/>
        <rFont val="Candara"/>
        <family val="2"/>
      </rPr>
      <t>01C</t>
    </r>
    <r>
      <rPr>
        <sz val="9.5"/>
        <rFont val="Times New Roman"/>
        <family val="1"/>
      </rPr>
      <t xml:space="preserve"> </t>
    </r>
    <r>
      <rPr>
        <b/>
        <sz val="9.5"/>
        <rFont val="Candara"/>
        <family val="2"/>
      </rPr>
      <t>-</t>
    </r>
    <r>
      <rPr>
        <sz val="9.5"/>
        <rFont val="Times New Roman"/>
        <family val="1"/>
      </rPr>
      <t xml:space="preserve"> </t>
    </r>
    <r>
      <rPr>
        <b/>
        <sz val="9.5"/>
        <rFont val="Candara"/>
        <family val="2"/>
      </rPr>
      <t>Réseaux</t>
    </r>
    <r>
      <rPr>
        <sz val="9.5"/>
        <rFont val="Times New Roman"/>
        <family val="1"/>
      </rPr>
      <t xml:space="preserve"> </t>
    </r>
    <r>
      <rPr>
        <b/>
        <sz val="9.5"/>
        <rFont val="Candara"/>
        <family val="2"/>
      </rPr>
      <t>secs</t>
    </r>
    <r>
      <rPr>
        <sz val="9.5"/>
        <rFont val="Times New Roman"/>
        <family val="1"/>
      </rPr>
      <t xml:space="preserve"> </t>
    </r>
  </si>
  <si>
    <t xml:space="preserve">Distribution basse tension - </t>
  </si>
  <si>
    <t>a) section 3 x 150 mm2 + 70 mm2 alu pour départ vers villas</t>
  </si>
  <si>
    <t>Essais et contrôles et plan georef</t>
  </si>
  <si>
    <t>a) Type L0C</t>
  </si>
  <si>
    <t>a) 5Ø 42/45 infrastructure principale</t>
  </si>
  <si>
    <t>03.2</t>
  </si>
  <si>
    <t>03.03</t>
  </si>
  <si>
    <t>CIBE</t>
  </si>
  <si>
    <t>ml</t>
  </si>
  <si>
    <t>04.11</t>
  </si>
  <si>
    <t>Luminaires fonctionnels - H = 5,00 ml LED 100W THORN PLUVIO ou equivalent</t>
  </si>
  <si>
    <t>02.6</t>
  </si>
  <si>
    <t>02.7</t>
  </si>
  <si>
    <t>b) 2Ø 42-45 adduction logements</t>
  </si>
  <si>
    <t xml:space="preserve">Coffrets de comptage et raccordement </t>
  </si>
  <si>
    <t>Fourreaux TP</t>
  </si>
  <si>
    <t>c) Section 4 x 35 mm2 pour l’ensemble des branchements individuels</t>
  </si>
  <si>
    <t>a) section 3 x 95 mm2 + 70 mm2 alu pour départ vers villas</t>
  </si>
  <si>
    <t xml:space="preserve">                                   SCCV GRANDE TERRE LOT 1C RESEAUX SECS ESTIMATIF</t>
  </si>
  <si>
    <t>C) Type L1T sans compris L1T sans fond pour raccordement sur conduites existantes</t>
  </si>
  <si>
    <t>Coffret  REMBT 800</t>
  </si>
  <si>
    <t>C) IRVE GC DN160 PARKING</t>
  </si>
  <si>
    <t>D) regard 50X50 IRVE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</si>
</sst>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00"/>
    <numFmt numFmtId="166" formatCode="#,##0.00\ &quot;€&quot;"/>
    <numFmt numFmtId="167" formatCode="_-* #,##0\ _€_-;\-* #,##0\ _€_-;_-* &quot;-&quot;??\ _€_-;_-@_-"/>
  </numFmts>
  <fonts count="13" x14ac:knownFonts="1">
    <font>
      <sz val="10"/>
      <color rgb="FF000000"/>
      <name val="Times New Roman"/>
      <charset val="204"/>
    </font>
    <font>
      <b/>
      <sz val="9.5"/>
      <name val="Candara"/>
      <family val="2"/>
    </font>
    <font>
      <b/>
      <sz val="7.5"/>
      <name val="Candara"/>
      <family val="2"/>
    </font>
    <font>
      <b/>
      <sz val="9.5"/>
      <color rgb="FF000000"/>
      <name val="Candara"/>
      <family val="2"/>
    </font>
    <font>
      <sz val="9.5"/>
      <name val="Candara"/>
      <family val="2"/>
    </font>
    <font>
      <sz val="9.5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.5"/>
      <color rgb="FFFF0000"/>
      <name val="Candara"/>
      <family val="2"/>
    </font>
    <font>
      <sz val="10"/>
      <color rgb="FFFF0000"/>
      <name val="Times New Roman"/>
      <family val="1"/>
    </font>
    <font>
      <sz val="9.5"/>
      <name val="Times New Roman"/>
      <family val="2"/>
      <charset val="204"/>
    </font>
    <font>
      <sz val="8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100"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left" wrapText="1"/>
    </xf>
    <xf numFmtId="0" fontId="0" fillId="0" borderId="10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65" fontId="3" fillId="0" borderId="8" xfId="0" applyNumberFormat="1" applyFont="1" applyBorder="1" applyAlignment="1">
      <alignment horizontal="center" vertical="top" shrinkToFit="1"/>
    </xf>
    <xf numFmtId="0" fontId="0" fillId="0" borderId="8" xfId="0" applyBorder="1" applyAlignment="1">
      <alignment horizontal="left" wrapText="1"/>
    </xf>
    <xf numFmtId="0" fontId="4" fillId="0" borderId="11" xfId="0" applyFont="1" applyBorder="1" applyAlignment="1">
      <alignment horizontal="center" vertical="top" wrapText="1"/>
    </xf>
    <xf numFmtId="165" fontId="3" fillId="0" borderId="11" xfId="0" applyNumberFormat="1" applyFont="1" applyBorder="1" applyAlignment="1">
      <alignment horizontal="center" vertical="top" shrinkToFit="1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166" fontId="0" fillId="0" borderId="5" xfId="0" applyNumberFormat="1" applyBorder="1" applyAlignment="1">
      <alignment horizontal="left" vertical="top" wrapText="1"/>
    </xf>
    <xf numFmtId="166" fontId="0" fillId="0" borderId="9" xfId="0" applyNumberFormat="1" applyBorder="1" applyAlignment="1">
      <alignment horizontal="left" vertical="top" wrapText="1"/>
    </xf>
    <xf numFmtId="166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right" vertical="top"/>
    </xf>
    <xf numFmtId="0" fontId="7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167" fontId="0" fillId="0" borderId="5" xfId="1" applyNumberFormat="1" applyFont="1" applyFill="1" applyBorder="1" applyAlignment="1">
      <alignment horizontal="left" vertical="top" wrapText="1"/>
    </xf>
    <xf numFmtId="167" fontId="0" fillId="0" borderId="7" xfId="1" applyNumberFormat="1" applyFont="1" applyFill="1" applyBorder="1" applyAlignment="1">
      <alignment horizontal="left" vertical="top" wrapText="1"/>
    </xf>
    <xf numFmtId="167" fontId="0" fillId="0" borderId="9" xfId="1" applyNumberFormat="1" applyFont="1" applyFill="1" applyBorder="1" applyAlignment="1">
      <alignment horizontal="left" vertical="top" wrapText="1"/>
    </xf>
    <xf numFmtId="167" fontId="0" fillId="0" borderId="10" xfId="1" applyNumberFormat="1" applyFont="1" applyFill="1" applyBorder="1" applyAlignment="1">
      <alignment horizontal="left" vertical="top" wrapText="1"/>
    </xf>
    <xf numFmtId="167" fontId="0" fillId="0" borderId="12" xfId="1" applyNumberFormat="1" applyFont="1" applyFill="1" applyBorder="1" applyAlignment="1">
      <alignment horizontal="left" vertical="top" wrapText="1"/>
    </xf>
    <xf numFmtId="167" fontId="0" fillId="0" borderId="14" xfId="1" applyNumberFormat="1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vertical="top" wrapText="1"/>
    </xf>
    <xf numFmtId="0" fontId="9" fillId="0" borderId="10" xfId="0" applyFont="1" applyBorder="1" applyAlignment="1">
      <alignment vertical="top" wrapText="1"/>
    </xf>
    <xf numFmtId="166" fontId="9" fillId="0" borderId="9" xfId="0" applyNumberFormat="1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167" fontId="9" fillId="0" borderId="9" xfId="1" applyNumberFormat="1" applyFont="1" applyFill="1" applyBorder="1" applyAlignment="1">
      <alignment horizontal="left" vertical="top" wrapText="1"/>
    </xf>
    <xf numFmtId="167" fontId="9" fillId="0" borderId="10" xfId="1" applyNumberFormat="1" applyFont="1" applyFill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/>
    </xf>
    <xf numFmtId="0" fontId="4" fillId="0" borderId="15" xfId="0" applyFont="1" applyBorder="1" applyAlignment="1">
      <alignment horizontal="center" vertical="top" wrapText="1"/>
    </xf>
    <xf numFmtId="0" fontId="0" fillId="0" borderId="15" xfId="0" applyBorder="1" applyAlignment="1">
      <alignment horizontal="left" vertical="top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4" fillId="0" borderId="9" xfId="0" applyFont="1" applyBorder="1" applyAlignment="1">
      <alignment horizontal="center" vertical="top" wrapText="1"/>
    </xf>
    <xf numFmtId="0" fontId="0" fillId="0" borderId="9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44" fontId="0" fillId="0" borderId="15" xfId="2" applyFont="1" applyFill="1" applyBorder="1" applyAlignment="1">
      <alignment horizontal="left" vertical="top" wrapText="1"/>
    </xf>
    <xf numFmtId="44" fontId="0" fillId="0" borderId="16" xfId="2" applyFont="1" applyFill="1" applyBorder="1" applyAlignment="1">
      <alignment horizontal="left" vertical="top" wrapText="1"/>
    </xf>
    <xf numFmtId="44" fontId="0" fillId="0" borderId="0" xfId="2" applyFont="1" applyFill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8" fillId="0" borderId="11" xfId="0" applyFont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44" fontId="6" fillId="0" borderId="9" xfId="2" applyFont="1" applyFill="1" applyBorder="1" applyAlignment="1">
      <alignment horizontal="right" vertical="top" shrinkToFit="1"/>
    </xf>
    <xf numFmtId="44" fontId="6" fillId="0" borderId="0" xfId="2" applyFont="1" applyFill="1" applyBorder="1" applyAlignment="1">
      <alignment horizontal="right" vertical="top" shrinkToFit="1"/>
    </xf>
    <xf numFmtId="44" fontId="6" fillId="0" borderId="10" xfId="2" applyFont="1" applyFill="1" applyBorder="1" applyAlignment="1">
      <alignment horizontal="right" vertical="top" shrinkToFit="1"/>
    </xf>
    <xf numFmtId="0" fontId="6" fillId="0" borderId="0" xfId="0" applyFont="1" applyAlignment="1">
      <alignment vertical="top" wrapText="1"/>
    </xf>
    <xf numFmtId="166" fontId="6" fillId="0" borderId="9" xfId="0" applyNumberFormat="1" applyFont="1" applyBorder="1" applyAlignment="1">
      <alignment horizontal="left" vertical="top" wrapText="1"/>
    </xf>
    <xf numFmtId="166" fontId="12" fillId="0" borderId="11" xfId="0" applyNumberFormat="1" applyFont="1" applyBorder="1" applyAlignment="1">
      <alignment horizontal="left" vertical="top" wrapText="1"/>
    </xf>
    <xf numFmtId="167" fontId="6" fillId="0" borderId="9" xfId="1" applyNumberFormat="1" applyFont="1" applyFill="1" applyBorder="1" applyAlignment="1">
      <alignment horizontal="left" vertical="top" wrapText="1"/>
    </xf>
    <xf numFmtId="0" fontId="7" fillId="0" borderId="0" xfId="0" applyFont="1" applyAlignment="1">
      <alignment horizontal="right" vertical="top"/>
    </xf>
    <xf numFmtId="44" fontId="7" fillId="0" borderId="9" xfId="2" applyFont="1" applyFill="1" applyBorder="1" applyAlignment="1">
      <alignment horizontal="right" vertical="top" shrinkToFit="1"/>
    </xf>
    <xf numFmtId="44" fontId="7" fillId="0" borderId="0" xfId="2" applyFont="1" applyFill="1" applyBorder="1" applyAlignment="1">
      <alignment horizontal="right" vertical="top" shrinkToFit="1"/>
    </xf>
    <xf numFmtId="44" fontId="7" fillId="0" borderId="10" xfId="2" applyFont="1" applyFill="1" applyBorder="1" applyAlignment="1">
      <alignment horizontal="right" vertical="top" shrinkToFit="1"/>
    </xf>
    <xf numFmtId="44" fontId="6" fillId="0" borderId="9" xfId="2" applyFont="1" applyFill="1" applyBorder="1" applyAlignment="1">
      <alignment horizontal="right" vertical="top" shrinkToFit="1"/>
    </xf>
    <xf numFmtId="44" fontId="6" fillId="0" borderId="0" xfId="2" applyFont="1" applyFill="1" applyBorder="1" applyAlignment="1">
      <alignment horizontal="right" vertical="top" shrinkToFit="1"/>
    </xf>
    <xf numFmtId="44" fontId="6" fillId="0" borderId="10" xfId="2" applyFont="1" applyFill="1" applyBorder="1" applyAlignment="1">
      <alignment horizontal="right" vertical="top" shrinkToFit="1"/>
    </xf>
    <xf numFmtId="0" fontId="0" fillId="0" borderId="0" xfId="0" applyAlignment="1">
      <alignment horizontal="right" vertical="top" wrapText="1"/>
    </xf>
    <xf numFmtId="0" fontId="6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6" fillId="0" borderId="9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0" fillId="0" borderId="2" xfId="0" applyFont="1" applyBorder="1" applyAlignment="1">
      <alignment horizontal="left" vertical="top" wrapText="1" indent="9"/>
    </xf>
    <xf numFmtId="0" fontId="0" fillId="0" borderId="3" xfId="0" applyBorder="1" applyAlignment="1">
      <alignment horizontal="left" vertical="top" wrapText="1" indent="9"/>
    </xf>
    <xf numFmtId="0" fontId="0" fillId="0" borderId="4" xfId="0" applyBorder="1" applyAlignment="1">
      <alignment horizontal="left" vertical="top" wrapText="1" indent="9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167" fontId="2" fillId="0" borderId="2" xfId="1" applyNumberFormat="1" applyFont="1" applyFill="1" applyBorder="1" applyAlignment="1">
      <alignment horizontal="left" vertical="center" wrapText="1" indent="1"/>
    </xf>
    <xf numFmtId="167" fontId="2" fillId="0" borderId="4" xfId="1" applyNumberFormat="1" applyFont="1" applyFill="1" applyBorder="1" applyAlignment="1">
      <alignment horizontal="left" vertical="center" wrapText="1" indent="1"/>
    </xf>
    <xf numFmtId="0" fontId="0" fillId="0" borderId="2" xfId="0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6" fillId="0" borderId="5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44" fontId="7" fillId="0" borderId="9" xfId="2" applyFont="1" applyFill="1" applyBorder="1" applyAlignment="1">
      <alignment horizontal="right" vertical="center" shrinkToFit="1"/>
    </xf>
    <xf numFmtId="44" fontId="7" fillId="0" borderId="0" xfId="2" applyFont="1" applyFill="1" applyBorder="1" applyAlignment="1">
      <alignment horizontal="right" vertical="center" shrinkToFit="1"/>
    </xf>
    <xf numFmtId="44" fontId="7" fillId="0" borderId="10" xfId="2" applyFont="1" applyFill="1" applyBorder="1" applyAlignment="1">
      <alignment horizontal="right" vertical="center" shrinkToFit="1"/>
    </xf>
    <xf numFmtId="44" fontId="7" fillId="0" borderId="12" xfId="2" applyFont="1" applyFill="1" applyBorder="1" applyAlignment="1">
      <alignment horizontal="right" vertical="top" shrinkToFit="1"/>
    </xf>
    <xf numFmtId="44" fontId="7" fillId="0" borderId="13" xfId="2" applyFont="1" applyFill="1" applyBorder="1" applyAlignment="1">
      <alignment horizontal="right" vertical="top" shrinkToFit="1"/>
    </xf>
    <xf numFmtId="44" fontId="7" fillId="0" borderId="14" xfId="2" applyFont="1" applyFill="1" applyBorder="1" applyAlignment="1">
      <alignment horizontal="right" vertical="top" shrinkToFit="1"/>
    </xf>
    <xf numFmtId="0" fontId="7" fillId="0" borderId="17" xfId="0" applyFont="1" applyBorder="1" applyAlignment="1">
      <alignment horizontal="right" vertical="top"/>
    </xf>
    <xf numFmtId="0" fontId="6" fillId="0" borderId="0" xfId="0" applyFont="1" applyAlignment="1">
      <alignment horizontal="left" vertical="top" wrapText="1"/>
    </xf>
  </cellXfs>
  <cellStyles count="3">
    <cellStyle name="Milliers" xfId="1" builtinId="3"/>
    <cellStyle name="Monétaire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379476</xdr:colOff>
      <xdr:row>0</xdr:row>
      <xdr:rowOff>0</xdr:rowOff>
    </xdr:from>
    <xdr:ext cx="6350" cy="14478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482092</xdr:colOff>
      <xdr:row>0</xdr:row>
      <xdr:rowOff>0</xdr:rowOff>
    </xdr:from>
    <xdr:ext cx="6350" cy="14478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364744</xdr:colOff>
      <xdr:row>0</xdr:row>
      <xdr:rowOff>0</xdr:rowOff>
    </xdr:from>
    <xdr:ext cx="6350" cy="14478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482092</xdr:colOff>
      <xdr:row>0</xdr:row>
      <xdr:rowOff>0</xdr:rowOff>
    </xdr:from>
    <xdr:ext cx="6350" cy="14478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364744</xdr:colOff>
      <xdr:row>0</xdr:row>
      <xdr:rowOff>0</xdr:rowOff>
    </xdr:from>
    <xdr:ext cx="6350" cy="14478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absoluteAnchor>
    <xdr:pos x="4609592" y="2876803"/>
    <xdr:ext cx="6350" cy="14478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14</xdr:col>
      <xdr:colOff>161036</xdr:colOff>
      <xdr:row>0</xdr:row>
      <xdr:rowOff>0</xdr:rowOff>
    </xdr:from>
    <xdr:ext cx="6350" cy="41783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6350" cy="417830"/>
        </a:xfrm>
        <a:custGeom>
          <a:avLst/>
          <a:gdLst/>
          <a:ahLst/>
          <a:cxnLst/>
          <a:rect l="0" t="0" r="0" b="0"/>
          <a:pathLst>
            <a:path w="6350" h="417830">
              <a:moveTo>
                <a:pt x="6096" y="0"/>
              </a:moveTo>
              <a:lnTo>
                <a:pt x="0" y="0"/>
              </a:lnTo>
              <a:lnTo>
                <a:pt x="0" y="359664"/>
              </a:lnTo>
              <a:lnTo>
                <a:pt x="0" y="365760"/>
              </a:lnTo>
              <a:lnTo>
                <a:pt x="0" y="417576"/>
              </a:lnTo>
              <a:lnTo>
                <a:pt x="6096" y="417576"/>
              </a:lnTo>
              <a:lnTo>
                <a:pt x="6096" y="365760"/>
              </a:lnTo>
              <a:lnTo>
                <a:pt x="6096" y="359664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379476</xdr:colOff>
      <xdr:row>0</xdr:row>
      <xdr:rowOff>0</xdr:rowOff>
    </xdr:from>
    <xdr:ext cx="6350" cy="58419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6350" cy="58419"/>
        </a:xfrm>
        <a:custGeom>
          <a:avLst/>
          <a:gdLst/>
          <a:ahLst/>
          <a:cxnLst/>
          <a:rect l="0" t="0" r="0" b="0"/>
          <a:pathLst>
            <a:path w="6350" h="58419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57912"/>
              </a:lnTo>
              <a:lnTo>
                <a:pt x="6096" y="57912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482092</xdr:colOff>
      <xdr:row>0</xdr:row>
      <xdr:rowOff>0</xdr:rowOff>
    </xdr:from>
    <xdr:ext cx="6350" cy="58419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6350" cy="58419"/>
        </a:xfrm>
        <a:custGeom>
          <a:avLst/>
          <a:gdLst/>
          <a:ahLst/>
          <a:cxnLst/>
          <a:rect l="0" t="0" r="0" b="0"/>
          <a:pathLst>
            <a:path w="6350" h="58419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57912"/>
              </a:lnTo>
              <a:lnTo>
                <a:pt x="6096" y="57912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364744</xdr:colOff>
      <xdr:row>0</xdr:row>
      <xdr:rowOff>0</xdr:rowOff>
    </xdr:from>
    <xdr:ext cx="6350" cy="14478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482092</xdr:colOff>
      <xdr:row>0</xdr:row>
      <xdr:rowOff>0</xdr:rowOff>
    </xdr:from>
    <xdr:ext cx="6350" cy="14478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364744</xdr:colOff>
      <xdr:row>0</xdr:row>
      <xdr:rowOff>0</xdr:rowOff>
    </xdr:from>
    <xdr:ext cx="6350" cy="14478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482092</xdr:colOff>
      <xdr:row>0</xdr:row>
      <xdr:rowOff>0</xdr:rowOff>
    </xdr:from>
    <xdr:ext cx="6350" cy="14478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43180</xdr:colOff>
      <xdr:row>0</xdr:row>
      <xdr:rowOff>0</xdr:rowOff>
    </xdr:from>
    <xdr:ext cx="591311" cy="15239"/>
    <xdr:pic>
      <xdr:nvPicPr>
        <xdr:cNvPr id="30" name="image5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1311" cy="15239"/>
        </a:xfrm>
        <a:prstGeom prst="rect">
          <a:avLst/>
        </a:prstGeom>
      </xdr:spPr>
    </xdr:pic>
    <xdr:clientData/>
  </xdr:oneCellAnchor>
  <xdr:oneCellAnchor>
    <xdr:from>
      <xdr:col>3</xdr:col>
      <xdr:colOff>637539</xdr:colOff>
      <xdr:row>0</xdr:row>
      <xdr:rowOff>0</xdr:rowOff>
    </xdr:from>
    <xdr:ext cx="711707" cy="7619"/>
    <xdr:pic>
      <xdr:nvPicPr>
        <xdr:cNvPr id="31" name="image6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707" cy="7619"/>
        </a:xfrm>
        <a:prstGeom prst="rect">
          <a:avLst/>
        </a:prstGeom>
      </xdr:spPr>
    </xdr:pic>
    <xdr:clientData/>
  </xdr:oneCellAnchor>
  <xdr:oneCellAnchor>
    <xdr:from>
      <xdr:col>3</xdr:col>
      <xdr:colOff>755904</xdr:colOff>
      <xdr:row>0</xdr:row>
      <xdr:rowOff>0</xdr:rowOff>
    </xdr:from>
    <xdr:ext cx="472439" cy="30479"/>
    <xdr:pic>
      <xdr:nvPicPr>
        <xdr:cNvPr id="33" name="image8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2439" cy="3047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"/>
  <sheetViews>
    <sheetView tabSelected="1" zoomScale="85" zoomScaleNormal="85" workbookViewId="0">
      <selection activeCell="T20" sqref="T20"/>
    </sheetView>
  </sheetViews>
  <sheetFormatPr baseColWidth="10" defaultColWidth="8.8984375" defaultRowHeight="13" x14ac:dyDescent="0.3"/>
  <cols>
    <col min="1" max="1" width="11.59765625" customWidth="1"/>
    <col min="2" max="2" width="6.8984375" customWidth="1"/>
    <col min="3" max="3" width="17.296875" customWidth="1"/>
    <col min="4" max="4" width="16.19921875" customWidth="1"/>
    <col min="5" max="5" width="15.09765625" customWidth="1"/>
    <col min="6" max="7" width="1.09765625" customWidth="1"/>
    <col min="8" max="8" width="5.796875" customWidth="1"/>
    <col min="9" max="9" width="11.19921875" style="14" customWidth="1"/>
    <col min="10" max="10" width="9.765625E-2" customWidth="1"/>
    <col min="11" max="11" width="9.796875" customWidth="1"/>
    <col min="12" max="12" width="9.765625E-2" customWidth="1"/>
    <col min="13" max="13" width="1.09765625" customWidth="1"/>
    <col min="14" max="14" width="6.8984375" customWidth="1"/>
    <col min="15" max="15" width="5.796875" style="49" customWidth="1"/>
    <col min="16" max="17" width="3.296875" customWidth="1"/>
    <col min="18" max="18" width="10.3984375" customWidth="1"/>
    <col min="20" max="20" width="63.3984375" customWidth="1"/>
  </cols>
  <sheetData>
    <row r="1" spans="1:21" ht="23" customHeight="1" x14ac:dyDescent="0.3">
      <c r="A1" s="74" t="s">
        <v>94</v>
      </c>
      <c r="B1" s="74"/>
      <c r="C1" s="74"/>
      <c r="D1" s="74"/>
      <c r="E1" s="74"/>
      <c r="F1" s="74"/>
      <c r="G1" s="74"/>
      <c r="H1" s="75"/>
      <c r="I1" s="76"/>
      <c r="J1" s="77"/>
      <c r="K1" s="77"/>
      <c r="L1" s="77"/>
      <c r="M1" s="77"/>
      <c r="N1" s="77"/>
      <c r="O1" s="78"/>
    </row>
    <row r="2" spans="1:21" ht="24" customHeight="1" x14ac:dyDescent="0.3">
      <c r="A2" s="5" t="s">
        <v>0</v>
      </c>
      <c r="B2" s="79" t="s">
        <v>75</v>
      </c>
      <c r="C2" s="80"/>
      <c r="D2" s="80"/>
      <c r="E2" s="80"/>
      <c r="F2" s="80"/>
      <c r="G2" s="81"/>
      <c r="H2" s="5" t="s">
        <v>1</v>
      </c>
      <c r="I2" s="82" t="s">
        <v>2</v>
      </c>
      <c r="J2" s="83"/>
      <c r="K2" s="84" t="s">
        <v>3</v>
      </c>
      <c r="L2" s="85"/>
      <c r="M2" s="86" t="s">
        <v>4</v>
      </c>
      <c r="N2" s="87"/>
      <c r="O2" s="88"/>
    </row>
    <row r="3" spans="1:21" ht="17" customHeight="1" x14ac:dyDescent="0.3">
      <c r="A3" s="6">
        <v>1</v>
      </c>
      <c r="B3" s="15" t="s">
        <v>36</v>
      </c>
      <c r="C3" s="20"/>
      <c r="D3" s="20"/>
      <c r="E3" s="20"/>
      <c r="F3" s="20"/>
      <c r="G3" s="21"/>
      <c r="H3" s="7"/>
      <c r="I3" s="12"/>
      <c r="J3" s="4"/>
      <c r="K3" s="26"/>
      <c r="L3" s="27"/>
      <c r="M3" s="89"/>
      <c r="N3" s="90"/>
      <c r="O3" s="91"/>
      <c r="T3" s="15"/>
    </row>
    <row r="4" spans="1:21" ht="15" customHeight="1" x14ac:dyDescent="0.3">
      <c r="A4" s="8" t="s">
        <v>5</v>
      </c>
      <c r="B4" t="s">
        <v>37</v>
      </c>
      <c r="C4" s="22"/>
      <c r="D4" s="22"/>
      <c r="E4" s="22"/>
      <c r="F4" s="22"/>
      <c r="G4" s="23"/>
      <c r="H4" s="8" t="s">
        <v>6</v>
      </c>
      <c r="I4" s="13"/>
      <c r="J4" s="2"/>
      <c r="K4" s="28">
        <v>1</v>
      </c>
      <c r="L4" s="29"/>
      <c r="M4" s="64">
        <f>I4*K4</f>
        <v>0</v>
      </c>
      <c r="N4" s="65"/>
      <c r="O4" s="66"/>
    </row>
    <row r="5" spans="1:21" ht="14.25" customHeight="1" x14ac:dyDescent="0.3">
      <c r="A5" s="8" t="s">
        <v>7</v>
      </c>
      <c r="B5" t="s">
        <v>38</v>
      </c>
      <c r="C5" s="22"/>
      <c r="D5" s="22"/>
      <c r="E5" s="22"/>
      <c r="F5" s="22"/>
      <c r="G5" s="23"/>
      <c r="H5" s="8" t="s">
        <v>6</v>
      </c>
      <c r="I5" s="13"/>
      <c r="J5" s="2"/>
      <c r="K5" s="28">
        <v>1</v>
      </c>
      <c r="L5" s="29"/>
      <c r="M5" s="64">
        <f t="shared" ref="M5:M50" si="0">I5*K5</f>
        <v>0</v>
      </c>
      <c r="N5" s="65"/>
      <c r="O5" s="66"/>
    </row>
    <row r="6" spans="1:21" ht="14.25" customHeight="1" x14ac:dyDescent="0.3">
      <c r="A6" s="8" t="s">
        <v>8</v>
      </c>
      <c r="B6" s="16" t="s">
        <v>55</v>
      </c>
      <c r="C6" s="22"/>
      <c r="D6" s="22"/>
      <c r="E6" s="22"/>
      <c r="F6" s="22"/>
      <c r="G6" s="23"/>
      <c r="H6" s="8" t="s">
        <v>6</v>
      </c>
      <c r="I6" s="57"/>
      <c r="J6" s="2"/>
      <c r="K6" s="28">
        <v>1</v>
      </c>
      <c r="L6" s="29"/>
      <c r="M6" s="64">
        <f t="shared" si="0"/>
        <v>0</v>
      </c>
      <c r="N6" s="65"/>
      <c r="O6" s="66"/>
      <c r="T6" s="16"/>
    </row>
    <row r="7" spans="1:21" ht="14.25" customHeight="1" x14ac:dyDescent="0.3">
      <c r="A7" s="8" t="s">
        <v>9</v>
      </c>
      <c r="B7" t="s">
        <v>56</v>
      </c>
      <c r="C7" s="22"/>
      <c r="D7" s="22"/>
      <c r="E7" s="22"/>
      <c r="F7" s="22"/>
      <c r="G7" s="23"/>
      <c r="H7" s="8" t="s">
        <v>6</v>
      </c>
      <c r="I7" s="13"/>
      <c r="J7" s="2"/>
      <c r="K7" s="28">
        <v>1</v>
      </c>
      <c r="L7" s="29"/>
      <c r="M7" s="64">
        <f t="shared" si="0"/>
        <v>0</v>
      </c>
      <c r="N7" s="65"/>
      <c r="O7" s="66"/>
      <c r="T7" s="14"/>
    </row>
    <row r="8" spans="1:21" ht="14.25" customHeight="1" x14ac:dyDescent="0.3">
      <c r="A8" s="8" t="s">
        <v>10</v>
      </c>
      <c r="B8" t="s">
        <v>54</v>
      </c>
      <c r="C8" s="22"/>
      <c r="D8" s="22"/>
      <c r="E8" s="22"/>
      <c r="F8" s="22"/>
      <c r="G8" s="23"/>
      <c r="H8" s="8" t="s">
        <v>11</v>
      </c>
      <c r="I8" s="13"/>
      <c r="J8" s="2"/>
      <c r="K8" s="28">
        <v>30</v>
      </c>
      <c r="L8" s="29"/>
      <c r="M8" s="64">
        <f t="shared" si="0"/>
        <v>0</v>
      </c>
      <c r="N8" s="65"/>
      <c r="O8" s="66"/>
    </row>
    <row r="9" spans="1:21" ht="14.25" customHeight="1" x14ac:dyDescent="0.3">
      <c r="A9" s="8" t="s">
        <v>12</v>
      </c>
      <c r="B9" t="s">
        <v>53</v>
      </c>
      <c r="C9" s="22"/>
      <c r="D9" s="22"/>
      <c r="E9" s="22"/>
      <c r="F9" s="22"/>
      <c r="G9" s="23"/>
      <c r="H9" s="8" t="s">
        <v>13</v>
      </c>
      <c r="I9" s="13"/>
      <c r="J9" s="2"/>
      <c r="K9" s="28">
        <v>40</v>
      </c>
      <c r="L9" s="29"/>
      <c r="M9" s="64">
        <f t="shared" si="0"/>
        <v>0</v>
      </c>
      <c r="N9" s="65"/>
      <c r="O9" s="66"/>
    </row>
    <row r="10" spans="1:21" ht="14.25" customHeight="1" x14ac:dyDescent="0.3">
      <c r="A10" s="8" t="s">
        <v>14</v>
      </c>
      <c r="B10" t="s">
        <v>52</v>
      </c>
      <c r="C10" s="22"/>
      <c r="D10" s="22"/>
      <c r="E10" s="22"/>
      <c r="F10" s="22"/>
      <c r="G10" s="23"/>
      <c r="H10" s="8" t="s">
        <v>6</v>
      </c>
      <c r="I10" s="13"/>
      <c r="J10" s="2"/>
      <c r="K10" s="28">
        <v>1</v>
      </c>
      <c r="L10" s="29"/>
      <c r="M10" s="64">
        <f t="shared" si="0"/>
        <v>0</v>
      </c>
      <c r="N10" s="65"/>
      <c r="O10" s="66"/>
    </row>
    <row r="11" spans="1:21" ht="14.25" customHeight="1" x14ac:dyDescent="0.3">
      <c r="A11" s="8" t="s">
        <v>15</v>
      </c>
      <c r="B11" t="s">
        <v>51</v>
      </c>
      <c r="C11" s="22"/>
      <c r="D11" s="22"/>
      <c r="E11" s="22"/>
      <c r="F11" s="22"/>
      <c r="G11" s="23"/>
      <c r="H11" s="8" t="s">
        <v>16</v>
      </c>
      <c r="I11" s="58"/>
      <c r="J11" s="2"/>
      <c r="K11" s="28">
        <f>K23*0.5*0.4+SUM(K34:K35)*0.4*0.4+SUM(K47:K49)*0.4*0.5</f>
        <v>245.56</v>
      </c>
      <c r="L11" s="29"/>
      <c r="M11" s="64">
        <f t="shared" si="0"/>
        <v>0</v>
      </c>
      <c r="N11" s="65"/>
      <c r="O11" s="66"/>
    </row>
    <row r="12" spans="1:21" ht="14.25" customHeight="1" x14ac:dyDescent="0.3">
      <c r="A12" s="8" t="s">
        <v>17</v>
      </c>
      <c r="B12" s="16" t="s">
        <v>65</v>
      </c>
      <c r="C12" s="22"/>
      <c r="D12" s="22"/>
      <c r="E12" s="22"/>
      <c r="F12" s="22"/>
      <c r="G12" s="23"/>
      <c r="H12" s="8" t="s">
        <v>16</v>
      </c>
      <c r="I12" s="58"/>
      <c r="J12" s="2"/>
      <c r="K12" s="28">
        <v>20</v>
      </c>
      <c r="L12" s="29"/>
      <c r="M12" s="64">
        <f t="shared" si="0"/>
        <v>0</v>
      </c>
      <c r="N12" s="65"/>
      <c r="O12" s="66"/>
    </row>
    <row r="13" spans="1:21" ht="14.25" customHeight="1" x14ac:dyDescent="0.3">
      <c r="A13" s="8" t="s">
        <v>18</v>
      </c>
      <c r="B13" s="16" t="s">
        <v>64</v>
      </c>
      <c r="C13" s="22"/>
      <c r="D13" s="22"/>
      <c r="E13" s="22"/>
      <c r="F13" s="22"/>
      <c r="G13" s="23"/>
      <c r="H13" s="8" t="s">
        <v>16</v>
      </c>
      <c r="I13" s="58"/>
      <c r="J13" s="2"/>
      <c r="K13" s="28">
        <f>K11*0.2</f>
        <v>49.112000000000002</v>
      </c>
      <c r="L13" s="29"/>
      <c r="M13" s="64">
        <f t="shared" si="0"/>
        <v>0</v>
      </c>
      <c r="N13" s="65"/>
      <c r="O13" s="66"/>
    </row>
    <row r="14" spans="1:21" ht="14.25" customHeight="1" x14ac:dyDescent="0.3">
      <c r="A14" s="8" t="s">
        <v>19</v>
      </c>
      <c r="B14" t="s">
        <v>39</v>
      </c>
      <c r="C14" s="22"/>
      <c r="D14" s="22"/>
      <c r="E14" s="22"/>
      <c r="F14" s="22"/>
      <c r="G14" s="23"/>
      <c r="H14" s="8" t="s">
        <v>11</v>
      </c>
      <c r="I14" s="58"/>
      <c r="J14" s="2"/>
      <c r="K14" s="28">
        <f>K23+K34+K35+K47+K49</f>
        <v>1225</v>
      </c>
      <c r="L14" s="29"/>
      <c r="M14" s="64">
        <f t="shared" si="0"/>
        <v>0</v>
      </c>
      <c r="N14" s="65"/>
      <c r="O14" s="66"/>
      <c r="T14" s="16"/>
    </row>
    <row r="15" spans="1:21" ht="14.25" customHeight="1" x14ac:dyDescent="0.3">
      <c r="A15" s="8" t="s">
        <v>20</v>
      </c>
      <c r="B15" s="16" t="s">
        <v>59</v>
      </c>
      <c r="C15" s="22"/>
      <c r="D15" s="22"/>
      <c r="E15" s="22"/>
      <c r="F15" s="22"/>
      <c r="G15" s="23"/>
      <c r="H15" s="8" t="s">
        <v>16</v>
      </c>
      <c r="I15" s="58"/>
      <c r="J15" s="2"/>
      <c r="K15" s="28">
        <f>K11-K13</f>
        <v>196.44800000000001</v>
      </c>
      <c r="L15" s="29"/>
      <c r="M15" s="64">
        <f t="shared" si="0"/>
        <v>0</v>
      </c>
      <c r="N15" s="65"/>
      <c r="O15" s="66"/>
      <c r="U15" s="16"/>
    </row>
    <row r="16" spans="1:21" ht="14.25" customHeight="1" x14ac:dyDescent="0.3">
      <c r="A16" s="8" t="s">
        <v>21</v>
      </c>
      <c r="B16" t="s">
        <v>60</v>
      </c>
      <c r="C16" s="22"/>
      <c r="D16" s="22"/>
      <c r="E16" s="22"/>
      <c r="F16" s="22"/>
      <c r="G16" s="23"/>
      <c r="H16" s="8" t="s">
        <v>74</v>
      </c>
      <c r="I16" s="58"/>
      <c r="J16" s="2"/>
      <c r="K16" s="28">
        <v>1</v>
      </c>
      <c r="L16" s="29"/>
      <c r="M16" s="64">
        <f t="shared" si="0"/>
        <v>0</v>
      </c>
      <c r="N16" s="65"/>
      <c r="O16" s="66"/>
    </row>
    <row r="17" spans="1:20" ht="14.25" customHeight="1" x14ac:dyDescent="0.3">
      <c r="A17" s="8" t="s">
        <v>23</v>
      </c>
      <c r="B17" t="s">
        <v>58</v>
      </c>
      <c r="C17" s="22"/>
      <c r="D17" s="22"/>
      <c r="E17" s="22"/>
      <c r="F17" s="22"/>
      <c r="G17" s="23"/>
      <c r="H17" s="8" t="s">
        <v>13</v>
      </c>
      <c r="I17" s="58"/>
      <c r="J17" s="2"/>
      <c r="K17" s="28">
        <v>50</v>
      </c>
      <c r="L17" s="29"/>
      <c r="M17" s="64">
        <f t="shared" si="0"/>
        <v>0</v>
      </c>
      <c r="N17" s="65"/>
      <c r="O17" s="66"/>
    </row>
    <row r="18" spans="1:20" ht="14.25" customHeight="1" x14ac:dyDescent="0.3">
      <c r="A18" s="8" t="s">
        <v>24</v>
      </c>
      <c r="B18" t="s">
        <v>57</v>
      </c>
      <c r="C18" s="22"/>
      <c r="D18" s="22"/>
      <c r="E18" s="22"/>
      <c r="F18" s="22"/>
      <c r="G18" s="23"/>
      <c r="H18" s="8" t="s">
        <v>16</v>
      </c>
      <c r="I18" s="13"/>
      <c r="J18" s="2"/>
      <c r="K18" s="28">
        <f>+K11</f>
        <v>245.56</v>
      </c>
      <c r="L18" s="29"/>
      <c r="M18" s="64">
        <f t="shared" si="0"/>
        <v>0</v>
      </c>
      <c r="N18" s="65"/>
      <c r="O18" s="66"/>
    </row>
    <row r="19" spans="1:20" ht="15" customHeight="1" x14ac:dyDescent="0.3">
      <c r="A19" s="8" t="s">
        <v>25</v>
      </c>
      <c r="B19" t="s">
        <v>40</v>
      </c>
      <c r="C19" s="18"/>
      <c r="D19" s="18"/>
      <c r="E19" s="18"/>
      <c r="F19" s="22"/>
      <c r="G19" s="23"/>
      <c r="H19" s="8" t="s">
        <v>6</v>
      </c>
      <c r="I19" s="13"/>
      <c r="J19" s="2"/>
      <c r="K19" s="28">
        <v>1</v>
      </c>
      <c r="L19" s="29"/>
      <c r="M19" s="64">
        <f t="shared" si="0"/>
        <v>0</v>
      </c>
      <c r="N19" s="65"/>
      <c r="O19" s="66"/>
      <c r="T19" s="18"/>
    </row>
    <row r="20" spans="1:20" ht="17" customHeight="1" x14ac:dyDescent="0.3">
      <c r="A20" s="8"/>
      <c r="B20" s="60" t="s">
        <v>41</v>
      </c>
      <c r="C20" s="60"/>
      <c r="D20" s="60"/>
      <c r="E20" s="60"/>
      <c r="F20" s="22"/>
      <c r="G20" s="23"/>
      <c r="H20" s="8"/>
      <c r="I20" s="13"/>
      <c r="J20" s="2"/>
      <c r="K20" s="28"/>
      <c r="L20" s="29"/>
      <c r="M20" s="61">
        <f>+SUM(M4:O19)</f>
        <v>0</v>
      </c>
      <c r="N20" s="62"/>
      <c r="O20" s="63"/>
    </row>
    <row r="21" spans="1:20" ht="18" customHeight="1" x14ac:dyDescent="0.3">
      <c r="A21" s="8"/>
      <c r="B21" s="18"/>
      <c r="C21" s="18"/>
      <c r="D21" s="18"/>
      <c r="E21" s="18"/>
      <c r="F21" s="22"/>
      <c r="G21" s="23"/>
      <c r="H21" s="8"/>
      <c r="I21" s="13"/>
      <c r="J21" s="2"/>
      <c r="K21" s="28"/>
      <c r="L21" s="29"/>
      <c r="M21" s="64"/>
      <c r="N21" s="65"/>
      <c r="O21" s="66"/>
      <c r="T21" s="15"/>
    </row>
    <row r="22" spans="1:20" ht="15" customHeight="1" x14ac:dyDescent="0.3">
      <c r="A22" s="9">
        <v>2</v>
      </c>
      <c r="B22" s="15" t="s">
        <v>42</v>
      </c>
      <c r="C22" s="22"/>
      <c r="D22" s="22"/>
      <c r="E22" s="22"/>
      <c r="F22" s="22"/>
      <c r="G22" s="23"/>
      <c r="H22" s="1"/>
      <c r="I22" s="13"/>
      <c r="J22" s="2"/>
      <c r="K22" s="28"/>
      <c r="L22" s="29"/>
      <c r="M22" s="64"/>
      <c r="N22" s="65"/>
      <c r="O22" s="66"/>
      <c r="T22" s="16"/>
    </row>
    <row r="23" spans="1:20" ht="14.25" customHeight="1" x14ac:dyDescent="0.3">
      <c r="A23" s="8" t="s">
        <v>26</v>
      </c>
      <c r="B23" s="16" t="s">
        <v>61</v>
      </c>
      <c r="C23" s="22"/>
      <c r="D23" s="22"/>
      <c r="E23" s="22"/>
      <c r="F23" s="22"/>
      <c r="G23" s="23"/>
      <c r="H23" s="8" t="s">
        <v>11</v>
      </c>
      <c r="I23" s="13"/>
      <c r="J23" s="2">
        <v>421</v>
      </c>
      <c r="K23" s="28">
        <v>421</v>
      </c>
      <c r="L23" s="29"/>
      <c r="M23" s="64">
        <f t="shared" si="0"/>
        <v>0</v>
      </c>
      <c r="N23" s="65"/>
      <c r="O23" s="66"/>
    </row>
    <row r="24" spans="1:20" ht="14.25" customHeight="1" x14ac:dyDescent="0.3">
      <c r="A24" s="8" t="s">
        <v>27</v>
      </c>
      <c r="B24" t="s">
        <v>62</v>
      </c>
      <c r="C24" s="22"/>
      <c r="D24" s="22"/>
      <c r="E24" s="22"/>
      <c r="F24" s="22"/>
      <c r="G24" s="23"/>
      <c r="H24" s="8" t="s">
        <v>11</v>
      </c>
      <c r="I24" s="13"/>
      <c r="J24" s="2"/>
      <c r="K24" s="28">
        <v>450</v>
      </c>
      <c r="L24" s="29"/>
      <c r="M24" s="64">
        <f t="shared" si="0"/>
        <v>0</v>
      </c>
      <c r="N24" s="65"/>
      <c r="O24" s="66"/>
    </row>
    <row r="25" spans="1:20" ht="14.25" customHeight="1" x14ac:dyDescent="0.3">
      <c r="A25" s="8" t="s">
        <v>28</v>
      </c>
      <c r="B25" t="s">
        <v>43</v>
      </c>
      <c r="C25" s="22"/>
      <c r="D25" s="22"/>
      <c r="E25" s="22"/>
      <c r="F25" s="22"/>
      <c r="G25" s="23"/>
      <c r="H25" s="8" t="s">
        <v>74</v>
      </c>
      <c r="I25" s="13"/>
      <c r="J25" s="2"/>
      <c r="K25" s="28">
        <v>1</v>
      </c>
      <c r="L25" s="29"/>
      <c r="M25" s="64">
        <f t="shared" si="0"/>
        <v>0</v>
      </c>
      <c r="N25" s="65"/>
      <c r="O25" s="66"/>
      <c r="T25" s="16"/>
    </row>
    <row r="26" spans="1:20" ht="14.25" customHeight="1" x14ac:dyDescent="0.3">
      <c r="A26" s="8" t="s">
        <v>29</v>
      </c>
      <c r="B26" s="16" t="s">
        <v>63</v>
      </c>
      <c r="C26" s="22"/>
      <c r="D26" s="22"/>
      <c r="E26" s="22"/>
      <c r="F26" s="22"/>
      <c r="G26" s="23"/>
      <c r="H26" s="8" t="s">
        <v>11</v>
      </c>
      <c r="I26" s="13"/>
      <c r="J26" s="2"/>
      <c r="K26" s="28">
        <v>450</v>
      </c>
      <c r="L26" s="29"/>
      <c r="M26" s="64">
        <f t="shared" si="0"/>
        <v>0</v>
      </c>
      <c r="N26" s="65"/>
      <c r="O26" s="66"/>
      <c r="T26" s="16"/>
    </row>
    <row r="27" spans="1:20" ht="31" customHeight="1" x14ac:dyDescent="0.3">
      <c r="A27" s="8" t="s">
        <v>30</v>
      </c>
      <c r="B27" s="70" t="s">
        <v>86</v>
      </c>
      <c r="C27" s="71"/>
      <c r="D27" s="71"/>
      <c r="E27" s="71"/>
      <c r="F27" s="71"/>
      <c r="G27" s="72"/>
      <c r="H27" s="8" t="s">
        <v>22</v>
      </c>
      <c r="I27" s="13"/>
      <c r="J27" s="2"/>
      <c r="K27" s="28">
        <v>27</v>
      </c>
      <c r="L27" s="29"/>
      <c r="M27" s="64">
        <f t="shared" si="0"/>
        <v>0</v>
      </c>
      <c r="N27" s="65"/>
      <c r="O27" s="66"/>
      <c r="T27" s="16"/>
    </row>
    <row r="28" spans="1:20" ht="14.25" customHeight="1" x14ac:dyDescent="0.3">
      <c r="A28" s="8" t="s">
        <v>87</v>
      </c>
      <c r="B28" s="16" t="s">
        <v>72</v>
      </c>
      <c r="C28" s="22"/>
      <c r="D28" s="22"/>
      <c r="E28" s="22"/>
      <c r="F28" s="22"/>
      <c r="G28" s="23"/>
      <c r="H28" s="8" t="s">
        <v>22</v>
      </c>
      <c r="I28" s="13"/>
      <c r="J28" s="2"/>
      <c r="K28" s="28">
        <v>2</v>
      </c>
      <c r="L28" s="29"/>
      <c r="M28" s="64">
        <f t="shared" si="0"/>
        <v>0</v>
      </c>
      <c r="N28" s="65"/>
      <c r="O28" s="66"/>
    </row>
    <row r="29" spans="1:20" ht="19" customHeight="1" x14ac:dyDescent="0.3">
      <c r="A29" s="8" t="s">
        <v>88</v>
      </c>
      <c r="B29" t="s">
        <v>44</v>
      </c>
      <c r="C29" s="22"/>
      <c r="D29" s="22"/>
      <c r="E29" s="22"/>
      <c r="F29" s="22"/>
      <c r="G29" s="23"/>
      <c r="H29" s="8" t="s">
        <v>6</v>
      </c>
      <c r="I29" s="13"/>
      <c r="J29" s="2"/>
      <c r="K29" s="28">
        <v>1</v>
      </c>
      <c r="L29" s="29"/>
      <c r="M29" s="64">
        <f t="shared" si="0"/>
        <v>0</v>
      </c>
      <c r="N29" s="65"/>
      <c r="O29" s="66"/>
      <c r="T29" s="18"/>
    </row>
    <row r="30" spans="1:20" ht="22" customHeight="1" x14ac:dyDescent="0.3">
      <c r="A30" s="50"/>
      <c r="B30" s="60" t="s">
        <v>45</v>
      </c>
      <c r="C30" s="60"/>
      <c r="D30" s="60"/>
      <c r="E30" s="60"/>
      <c r="F30" s="22"/>
      <c r="G30" s="23"/>
      <c r="H30" s="50"/>
      <c r="I30" s="13"/>
      <c r="J30" s="2"/>
      <c r="K30" s="28"/>
      <c r="L30" s="29"/>
      <c r="M30" s="61">
        <f>+SUM(M23:O29)</f>
        <v>0</v>
      </c>
      <c r="N30" s="62"/>
      <c r="O30" s="63"/>
      <c r="T30" s="18"/>
    </row>
    <row r="31" spans="1:20" ht="16" customHeight="1" x14ac:dyDescent="0.3">
      <c r="A31" s="8"/>
      <c r="B31" s="18"/>
      <c r="C31" s="22"/>
      <c r="D31" s="22"/>
      <c r="E31" s="22"/>
      <c r="F31" s="22"/>
      <c r="G31" s="23"/>
      <c r="H31" s="8"/>
      <c r="I31" s="13"/>
      <c r="J31" s="2"/>
      <c r="K31" s="28"/>
      <c r="L31" s="29"/>
      <c r="M31" s="64"/>
      <c r="N31" s="65"/>
      <c r="O31" s="66"/>
      <c r="T31" s="15"/>
    </row>
    <row r="32" spans="1:20" ht="14.25" customHeight="1" x14ac:dyDescent="0.3">
      <c r="A32" s="9">
        <v>3</v>
      </c>
      <c r="B32" s="15" t="s">
        <v>46</v>
      </c>
      <c r="C32" s="22"/>
      <c r="D32" s="22"/>
      <c r="E32" s="22"/>
      <c r="F32" s="22"/>
      <c r="G32" s="23"/>
      <c r="H32" s="1"/>
      <c r="I32" s="13"/>
      <c r="J32" s="2"/>
      <c r="K32" s="28"/>
      <c r="L32" s="29"/>
      <c r="M32" s="64"/>
      <c r="N32" s="65"/>
      <c r="O32" s="66"/>
    </row>
    <row r="33" spans="1:20" ht="14.25" customHeight="1" x14ac:dyDescent="0.3">
      <c r="A33" s="8" t="s">
        <v>31</v>
      </c>
      <c r="B33" s="16" t="s">
        <v>91</v>
      </c>
      <c r="C33" s="22"/>
      <c r="D33" s="22"/>
      <c r="E33" s="22"/>
      <c r="F33" s="22"/>
      <c r="G33" s="23"/>
      <c r="H33" s="10"/>
      <c r="I33" s="13"/>
      <c r="J33" s="2"/>
      <c r="K33" s="28"/>
      <c r="L33" s="29"/>
      <c r="M33" s="64"/>
      <c r="N33" s="65"/>
      <c r="O33" s="66"/>
      <c r="T33" s="17"/>
    </row>
    <row r="34" spans="1:20" ht="14.25" customHeight="1" x14ac:dyDescent="0.3">
      <c r="A34" s="50"/>
      <c r="B34" s="68" t="s">
        <v>80</v>
      </c>
      <c r="C34" s="69"/>
      <c r="D34" s="69"/>
      <c r="E34" s="69"/>
      <c r="F34" s="22"/>
      <c r="G34" s="23"/>
      <c r="H34" s="8" t="s">
        <v>11</v>
      </c>
      <c r="I34" s="13"/>
      <c r="J34" s="2">
        <v>1</v>
      </c>
      <c r="K34" s="28">
        <v>195</v>
      </c>
      <c r="L34" s="29"/>
      <c r="M34" s="64">
        <f t="shared" si="0"/>
        <v>0</v>
      </c>
      <c r="N34" s="65"/>
      <c r="O34" s="66"/>
      <c r="T34" s="17"/>
    </row>
    <row r="35" spans="1:20" ht="17" customHeight="1" x14ac:dyDescent="0.3">
      <c r="A35" s="1"/>
      <c r="B35" s="68" t="s">
        <v>89</v>
      </c>
      <c r="C35" s="69"/>
      <c r="D35" s="69"/>
      <c r="E35" s="69"/>
      <c r="F35" s="22"/>
      <c r="G35" s="23"/>
      <c r="H35" s="8" t="s">
        <v>11</v>
      </c>
      <c r="I35" s="13"/>
      <c r="J35" s="2"/>
      <c r="K35" s="28">
        <v>216</v>
      </c>
      <c r="L35" s="29"/>
      <c r="M35" s="64">
        <f t="shared" si="0"/>
        <v>0</v>
      </c>
      <c r="N35" s="65"/>
      <c r="O35" s="66"/>
    </row>
    <row r="36" spans="1:20" ht="17" customHeight="1" x14ac:dyDescent="0.3">
      <c r="A36" s="1"/>
      <c r="B36" s="68" t="s">
        <v>97</v>
      </c>
      <c r="C36" s="69"/>
      <c r="D36" s="69"/>
      <c r="E36" s="69"/>
      <c r="F36" s="22"/>
      <c r="G36" s="23"/>
      <c r="H36" s="8" t="s">
        <v>84</v>
      </c>
      <c r="I36" s="13"/>
      <c r="J36" s="2"/>
      <c r="K36" s="28">
        <v>270</v>
      </c>
      <c r="L36" s="29"/>
      <c r="M36" s="64">
        <f t="shared" ref="M36" si="1">I36*K36</f>
        <v>0</v>
      </c>
      <c r="N36" s="65"/>
      <c r="O36" s="66"/>
    </row>
    <row r="37" spans="1:20" ht="19" customHeight="1" x14ac:dyDescent="0.3">
      <c r="A37" s="8" t="s">
        <v>81</v>
      </c>
      <c r="B37" t="s">
        <v>47</v>
      </c>
      <c r="C37" s="22"/>
      <c r="D37" s="22"/>
      <c r="E37" s="22"/>
      <c r="F37" s="22"/>
      <c r="G37" s="23"/>
      <c r="H37" s="1"/>
      <c r="I37" s="13"/>
      <c r="J37" s="2"/>
      <c r="K37" s="28"/>
      <c r="L37" s="29"/>
      <c r="M37" s="64"/>
      <c r="N37" s="65"/>
      <c r="O37" s="66"/>
      <c r="T37" s="17"/>
    </row>
    <row r="38" spans="1:20" x14ac:dyDescent="0.3">
      <c r="A38" s="50"/>
      <c r="B38" s="68" t="s">
        <v>79</v>
      </c>
      <c r="C38" s="69"/>
      <c r="D38" s="69"/>
      <c r="E38" s="69"/>
      <c r="F38" s="22"/>
      <c r="G38" s="23"/>
      <c r="H38" s="8" t="s">
        <v>22</v>
      </c>
      <c r="I38" s="13"/>
      <c r="J38" s="2"/>
      <c r="K38" s="28">
        <v>18</v>
      </c>
      <c r="L38" s="29"/>
      <c r="M38" s="64">
        <f t="shared" si="0"/>
        <v>0</v>
      </c>
      <c r="N38" s="65"/>
      <c r="O38" s="66"/>
      <c r="T38" s="19"/>
    </row>
    <row r="39" spans="1:20" ht="27" customHeight="1" x14ac:dyDescent="0.3">
      <c r="A39" s="1"/>
      <c r="B39" s="67" t="s">
        <v>48</v>
      </c>
      <c r="C39" s="67"/>
      <c r="D39" s="67"/>
      <c r="E39" s="67"/>
      <c r="F39" s="22"/>
      <c r="G39" s="23"/>
      <c r="H39" s="8" t="s">
        <v>22</v>
      </c>
      <c r="I39" s="13"/>
      <c r="J39" s="2"/>
      <c r="K39" s="28">
        <v>8</v>
      </c>
      <c r="L39" s="29"/>
      <c r="M39" s="64">
        <f t="shared" si="0"/>
        <v>0</v>
      </c>
      <c r="N39" s="65"/>
      <c r="O39" s="66"/>
      <c r="T39" s="16"/>
    </row>
    <row r="40" spans="1:20" ht="27" customHeight="1" x14ac:dyDescent="0.3">
      <c r="A40" s="1"/>
      <c r="B40" s="73" t="s">
        <v>95</v>
      </c>
      <c r="C40" s="67"/>
      <c r="D40" s="67"/>
      <c r="E40" s="67"/>
      <c r="F40" s="22"/>
      <c r="G40" s="23"/>
      <c r="H40" s="8" t="s">
        <v>71</v>
      </c>
      <c r="I40" s="13"/>
      <c r="J40" s="2"/>
      <c r="K40" s="28">
        <v>4</v>
      </c>
      <c r="L40" s="29"/>
      <c r="M40" s="64">
        <f t="shared" ref="M40" si="2">I40*K40</f>
        <v>0</v>
      </c>
      <c r="N40" s="65"/>
      <c r="O40" s="66"/>
      <c r="T40" s="16"/>
    </row>
    <row r="41" spans="1:20" ht="27" customHeight="1" x14ac:dyDescent="0.3">
      <c r="A41" s="1"/>
      <c r="B41" s="73" t="s">
        <v>98</v>
      </c>
      <c r="C41" s="67"/>
      <c r="D41" s="67"/>
      <c r="E41" s="67"/>
      <c r="F41" s="22"/>
      <c r="G41" s="23"/>
      <c r="H41" s="8" t="s">
        <v>71</v>
      </c>
      <c r="I41" s="13"/>
      <c r="J41" s="2"/>
      <c r="K41" s="59">
        <v>20</v>
      </c>
      <c r="L41" s="29"/>
      <c r="M41" s="64">
        <f t="shared" ref="M41" si="3">I41*K41</f>
        <v>0</v>
      </c>
      <c r="N41" s="65"/>
      <c r="O41" s="66"/>
      <c r="T41" s="16"/>
    </row>
    <row r="42" spans="1:20" s="32" customFormat="1" ht="22" customHeight="1" x14ac:dyDescent="0.3">
      <c r="A42" s="51" t="s">
        <v>82</v>
      </c>
      <c r="B42" s="71" t="s">
        <v>73</v>
      </c>
      <c r="C42" s="71"/>
      <c r="D42" s="71"/>
      <c r="E42" s="71"/>
      <c r="F42" s="33"/>
      <c r="G42" s="34"/>
      <c r="H42" s="51" t="s">
        <v>71</v>
      </c>
      <c r="I42" s="35"/>
      <c r="J42" s="36"/>
      <c r="K42" s="37">
        <v>1</v>
      </c>
      <c r="L42" s="38"/>
      <c r="M42" s="64">
        <f t="shared" ref="M42" si="4">I42*K42</f>
        <v>0</v>
      </c>
      <c r="N42" s="65"/>
      <c r="O42" s="66"/>
    </row>
    <row r="43" spans="1:20" ht="14.25" customHeight="1" x14ac:dyDescent="0.3">
      <c r="A43" s="8"/>
      <c r="B43" s="60" t="s">
        <v>49</v>
      </c>
      <c r="C43" s="60"/>
      <c r="D43" s="60"/>
      <c r="E43" s="60"/>
      <c r="F43" s="22"/>
      <c r="G43" s="23"/>
      <c r="H43" s="8"/>
      <c r="I43" s="13"/>
      <c r="J43" s="2"/>
      <c r="K43" s="28"/>
      <c r="L43" s="29"/>
      <c r="M43" s="61">
        <f>+SUM(M34:O42)</f>
        <v>0</v>
      </c>
      <c r="N43" s="62"/>
      <c r="O43" s="63"/>
      <c r="T43" s="15"/>
    </row>
    <row r="44" spans="1:20" ht="14.25" customHeight="1" x14ac:dyDescent="0.3">
      <c r="A44" s="8"/>
      <c r="B44" s="18"/>
      <c r="C44" s="18"/>
      <c r="D44" s="18"/>
      <c r="E44" s="18"/>
      <c r="F44" s="22"/>
      <c r="G44" s="23"/>
      <c r="H44" s="8"/>
      <c r="I44" s="13"/>
      <c r="J44" s="2"/>
      <c r="K44" s="28"/>
      <c r="L44" s="29"/>
      <c r="M44" s="53"/>
      <c r="N44" s="54"/>
      <c r="O44" s="55"/>
      <c r="T44" s="15"/>
    </row>
    <row r="45" spans="1:20" ht="17" customHeight="1" x14ac:dyDescent="0.3">
      <c r="A45" s="9">
        <v>4</v>
      </c>
      <c r="B45" s="15" t="s">
        <v>76</v>
      </c>
      <c r="C45" s="22"/>
      <c r="D45" s="22"/>
      <c r="E45" s="22"/>
      <c r="F45" s="22"/>
      <c r="G45" s="23"/>
      <c r="H45" s="1"/>
      <c r="I45" s="13"/>
      <c r="J45" s="2"/>
      <c r="K45" s="28"/>
      <c r="L45" s="29"/>
      <c r="M45" s="64"/>
      <c r="N45" s="65"/>
      <c r="O45" s="66"/>
    </row>
    <row r="46" spans="1:20" x14ac:dyDescent="0.3">
      <c r="A46" s="8" t="s">
        <v>32</v>
      </c>
      <c r="B46" t="s">
        <v>50</v>
      </c>
      <c r="C46" s="22"/>
      <c r="D46" s="22"/>
      <c r="E46" s="22"/>
      <c r="F46" s="22"/>
      <c r="G46" s="23"/>
      <c r="H46" s="1"/>
      <c r="I46" s="13"/>
      <c r="J46" s="2"/>
      <c r="K46" s="28"/>
      <c r="L46" s="29"/>
      <c r="M46" s="64">
        <f t="shared" si="0"/>
        <v>0</v>
      </c>
      <c r="N46" s="65"/>
      <c r="O46" s="66"/>
      <c r="T46" s="11"/>
    </row>
    <row r="47" spans="1:20" ht="30.65" customHeight="1" x14ac:dyDescent="0.3">
      <c r="A47" s="50"/>
      <c r="B47" s="71" t="s">
        <v>77</v>
      </c>
      <c r="C47" s="71"/>
      <c r="D47" s="71"/>
      <c r="E47" s="71"/>
      <c r="F47" s="22"/>
      <c r="G47" s="23"/>
      <c r="H47" s="8" t="s">
        <v>11</v>
      </c>
      <c r="I47" s="13"/>
      <c r="J47" s="2"/>
      <c r="K47" s="28">
        <v>80</v>
      </c>
      <c r="L47" s="29"/>
      <c r="M47" s="64">
        <f t="shared" si="0"/>
        <v>0</v>
      </c>
      <c r="N47" s="65"/>
      <c r="O47" s="66"/>
      <c r="T47" s="11"/>
    </row>
    <row r="48" spans="1:20" ht="30.65" customHeight="1" x14ac:dyDescent="0.3">
      <c r="A48" s="50"/>
      <c r="B48" s="99" t="s">
        <v>93</v>
      </c>
      <c r="C48" s="71"/>
      <c r="D48" s="71"/>
      <c r="E48" s="71"/>
      <c r="F48" s="22"/>
      <c r="G48" s="23"/>
      <c r="H48" s="8" t="s">
        <v>84</v>
      </c>
      <c r="I48" s="13"/>
      <c r="J48" s="2"/>
      <c r="K48" s="28">
        <v>85</v>
      </c>
      <c r="L48" s="29"/>
      <c r="M48" s="64">
        <f>I48*K48</f>
        <v>0</v>
      </c>
      <c r="N48" s="65"/>
      <c r="O48" s="66"/>
      <c r="T48" s="11"/>
    </row>
    <row r="49" spans="1:20" ht="27.65" customHeight="1" x14ac:dyDescent="0.3">
      <c r="A49" s="10"/>
      <c r="B49" s="99" t="s">
        <v>92</v>
      </c>
      <c r="C49" s="71"/>
      <c r="D49" s="71"/>
      <c r="E49" s="71"/>
      <c r="F49" s="22"/>
      <c r="G49" s="23"/>
      <c r="H49" s="8" t="s">
        <v>11</v>
      </c>
      <c r="I49" s="13"/>
      <c r="J49" s="2"/>
      <c r="K49" s="28">
        <v>313</v>
      </c>
      <c r="L49" s="29"/>
      <c r="M49" s="64">
        <f t="shared" si="0"/>
        <v>0</v>
      </c>
      <c r="N49" s="65"/>
      <c r="O49" s="66"/>
    </row>
    <row r="50" spans="1:20" ht="14.25" customHeight="1" x14ac:dyDescent="0.3">
      <c r="A50" s="8" t="s">
        <v>33</v>
      </c>
      <c r="B50" s="16" t="s">
        <v>90</v>
      </c>
      <c r="C50" s="22"/>
      <c r="D50" s="22"/>
      <c r="E50" s="56" t="s">
        <v>83</v>
      </c>
      <c r="F50" s="22"/>
      <c r="G50" s="23"/>
      <c r="H50" s="8" t="s">
        <v>22</v>
      </c>
      <c r="I50" s="13"/>
      <c r="J50" s="2"/>
      <c r="K50" s="28">
        <v>18</v>
      </c>
      <c r="L50" s="29"/>
      <c r="M50" s="64">
        <f t="shared" si="0"/>
        <v>0</v>
      </c>
      <c r="N50" s="65"/>
      <c r="O50" s="66"/>
    </row>
    <row r="51" spans="1:20" ht="14.25" customHeight="1" x14ac:dyDescent="0.3">
      <c r="A51" s="40" t="s">
        <v>34</v>
      </c>
      <c r="B51" t="s">
        <v>66</v>
      </c>
      <c r="C51" s="52"/>
      <c r="D51" s="52"/>
      <c r="E51" s="52"/>
      <c r="F51" s="22"/>
      <c r="G51" s="23"/>
      <c r="H51" s="44" t="s">
        <v>22</v>
      </c>
      <c r="I51" s="47"/>
      <c r="J51" s="2"/>
      <c r="K51" s="28">
        <v>5</v>
      </c>
      <c r="L51" s="29"/>
      <c r="M51" s="64">
        <f>I51*K51</f>
        <v>0</v>
      </c>
      <c r="N51" s="65"/>
      <c r="O51" s="66"/>
    </row>
    <row r="52" spans="1:20" ht="14.25" customHeight="1" x14ac:dyDescent="0.3">
      <c r="A52" s="40" t="s">
        <v>35</v>
      </c>
      <c r="B52" s="16" t="s">
        <v>96</v>
      </c>
      <c r="C52" s="22"/>
      <c r="D52" s="22"/>
      <c r="E52" s="22"/>
      <c r="F52" s="22"/>
      <c r="G52" s="23"/>
      <c r="H52" s="44" t="s">
        <v>22</v>
      </c>
      <c r="I52" s="47"/>
      <c r="J52" s="2"/>
      <c r="K52" s="28">
        <v>1</v>
      </c>
      <c r="L52" s="29"/>
      <c r="M52" s="64">
        <f t="shared" ref="M52:M53" si="5">I52*K52</f>
        <v>0</v>
      </c>
      <c r="N52" s="65"/>
      <c r="O52" s="66"/>
    </row>
    <row r="53" spans="1:20" ht="17.75" customHeight="1" x14ac:dyDescent="0.3">
      <c r="A53" s="40" t="s">
        <v>85</v>
      </c>
      <c r="B53" s="16" t="s">
        <v>78</v>
      </c>
      <c r="C53" s="22"/>
      <c r="D53" s="22"/>
      <c r="E53" s="22"/>
      <c r="F53" s="22"/>
      <c r="G53" s="23"/>
      <c r="H53" s="44" t="s">
        <v>71</v>
      </c>
      <c r="I53" s="47"/>
      <c r="J53" s="2"/>
      <c r="K53" s="28">
        <v>1</v>
      </c>
      <c r="L53" s="29"/>
      <c r="M53" s="64">
        <f t="shared" si="5"/>
        <v>0</v>
      </c>
      <c r="N53" s="65"/>
      <c r="O53" s="66"/>
    </row>
    <row r="54" spans="1:20" x14ac:dyDescent="0.3">
      <c r="A54" s="41"/>
      <c r="B54" s="98" t="s">
        <v>67</v>
      </c>
      <c r="C54" s="60"/>
      <c r="D54" s="60"/>
      <c r="E54" s="60"/>
      <c r="F54" s="22"/>
      <c r="G54" s="23"/>
      <c r="H54" s="45"/>
      <c r="I54" s="47"/>
      <c r="J54" s="2"/>
      <c r="K54" s="28"/>
      <c r="L54" s="29"/>
      <c r="M54" s="61">
        <f>+SUM(M46:O50,M51:O53)</f>
        <v>0</v>
      </c>
      <c r="N54" s="62"/>
      <c r="O54" s="63"/>
      <c r="T54" s="15"/>
    </row>
    <row r="55" spans="1:20" x14ac:dyDescent="0.3">
      <c r="A55" s="42"/>
      <c r="B55" s="15" t="s">
        <v>68</v>
      </c>
      <c r="C55" s="22"/>
      <c r="D55" s="22"/>
      <c r="E55" s="22"/>
      <c r="F55" s="22"/>
      <c r="G55" s="23"/>
      <c r="H55" s="45"/>
      <c r="I55" s="47"/>
      <c r="J55" s="2"/>
      <c r="K55" s="28"/>
      <c r="L55" s="29"/>
      <c r="M55" s="92">
        <f>+M54+M43+M30+M20</f>
        <v>0</v>
      </c>
      <c r="N55" s="93"/>
      <c r="O55" s="94"/>
    </row>
    <row r="56" spans="1:20" x14ac:dyDescent="0.3">
      <c r="A56" s="42"/>
      <c r="B56" t="s">
        <v>69</v>
      </c>
      <c r="C56" s="22"/>
      <c r="D56" s="22"/>
      <c r="E56" s="22"/>
      <c r="F56" s="22"/>
      <c r="G56" s="23"/>
      <c r="H56" s="45"/>
      <c r="I56" s="47"/>
      <c r="J56" s="2"/>
      <c r="K56" s="28"/>
      <c r="L56" s="29"/>
      <c r="M56" s="64">
        <f>+M55*0.2</f>
        <v>0</v>
      </c>
      <c r="N56" s="65"/>
      <c r="O56" s="66"/>
    </row>
    <row r="57" spans="1:20" x14ac:dyDescent="0.3">
      <c r="A57" s="43"/>
      <c r="B57" s="39" t="s">
        <v>70</v>
      </c>
      <c r="C57" s="24"/>
      <c r="D57" s="24"/>
      <c r="E57" s="24"/>
      <c r="F57" s="24"/>
      <c r="G57" s="25"/>
      <c r="H57" s="46"/>
      <c r="I57" s="48"/>
      <c r="J57" s="3"/>
      <c r="K57" s="30"/>
      <c r="L57" s="31"/>
      <c r="M57" s="95">
        <f>+M55+M56</f>
        <v>0</v>
      </c>
      <c r="N57" s="96"/>
      <c r="O57" s="97"/>
    </row>
    <row r="58" spans="1:20" x14ac:dyDescent="0.3">
      <c r="I58" s="49"/>
    </row>
  </sheetData>
  <mergeCells count="76">
    <mergeCell ref="B54:E54"/>
    <mergeCell ref="B48:E48"/>
    <mergeCell ref="M48:O48"/>
    <mergeCell ref="M46:O46"/>
    <mergeCell ref="M47:O47"/>
    <mergeCell ref="M49:O49"/>
    <mergeCell ref="M50:O50"/>
    <mergeCell ref="M51:O51"/>
    <mergeCell ref="B47:E47"/>
    <mergeCell ref="B49:E49"/>
    <mergeCell ref="M55:O55"/>
    <mergeCell ref="M56:O56"/>
    <mergeCell ref="M57:O57"/>
    <mergeCell ref="M52:O52"/>
    <mergeCell ref="M53:O53"/>
    <mergeCell ref="M54:O54"/>
    <mergeCell ref="M35:O35"/>
    <mergeCell ref="M37:O37"/>
    <mergeCell ref="M38:O38"/>
    <mergeCell ref="M39:O39"/>
    <mergeCell ref="M45:O45"/>
    <mergeCell ref="M42:O42"/>
    <mergeCell ref="M36:O36"/>
    <mergeCell ref="M41:O41"/>
    <mergeCell ref="M13:O13"/>
    <mergeCell ref="M14:O14"/>
    <mergeCell ref="M15:O15"/>
    <mergeCell ref="M16:O16"/>
    <mergeCell ref="M34:O34"/>
    <mergeCell ref="M17:O17"/>
    <mergeCell ref="M18:O18"/>
    <mergeCell ref="M19:O19"/>
    <mergeCell ref="M22:O22"/>
    <mergeCell ref="M23:O23"/>
    <mergeCell ref="M24:O24"/>
    <mergeCell ref="M25:O25"/>
    <mergeCell ref="M26:O26"/>
    <mergeCell ref="M27:O27"/>
    <mergeCell ref="M8:O8"/>
    <mergeCell ref="M9:O9"/>
    <mergeCell ref="M10:O10"/>
    <mergeCell ref="M11:O11"/>
    <mergeCell ref="M12:O12"/>
    <mergeCell ref="M3:O3"/>
    <mergeCell ref="M4:O4"/>
    <mergeCell ref="M5:O5"/>
    <mergeCell ref="M6:O6"/>
    <mergeCell ref="M7:O7"/>
    <mergeCell ref="A1:H1"/>
    <mergeCell ref="I1:O1"/>
    <mergeCell ref="B2:G2"/>
    <mergeCell ref="I2:J2"/>
    <mergeCell ref="K2:L2"/>
    <mergeCell ref="M2:O2"/>
    <mergeCell ref="B30:E30"/>
    <mergeCell ref="B35:E35"/>
    <mergeCell ref="B34:E34"/>
    <mergeCell ref="B43:E43"/>
    <mergeCell ref="B42:E42"/>
    <mergeCell ref="B41:E41"/>
    <mergeCell ref="B20:E20"/>
    <mergeCell ref="M20:O20"/>
    <mergeCell ref="M21:O21"/>
    <mergeCell ref="M31:O31"/>
    <mergeCell ref="M43:O43"/>
    <mergeCell ref="B39:E39"/>
    <mergeCell ref="B38:E38"/>
    <mergeCell ref="M28:O28"/>
    <mergeCell ref="M29:O29"/>
    <mergeCell ref="M30:O30"/>
    <mergeCell ref="M32:O32"/>
    <mergeCell ref="M33:O33"/>
    <mergeCell ref="B27:G27"/>
    <mergeCell ref="B40:E40"/>
    <mergeCell ref="M40:O40"/>
    <mergeCell ref="B36:E36"/>
  </mergeCells>
  <phoneticPr fontId="11" type="noConversion"/>
  <pageMargins left="0.70866141732283472" right="0.70866141732283472" top="0.74803149606299213" bottom="0.74803149606299213" header="0.31496062992125984" footer="0.31496062992125984"/>
  <pageSetup paperSize="9" scale="76" fitToHeight="3" orientation="portrait" horizontalDpi="1200" verticalDpi="1200" r:id="rId1"/>
  <rowBreaks count="1" manualBreakCount="1">
    <brk id="44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BAE8017890D0428B89C23A8C3A65C0" ma:contentTypeVersion="16" ma:contentTypeDescription="Crée un document." ma:contentTypeScope="" ma:versionID="ae028f1a4f708819e072b9be809d9124">
  <xsd:schema xmlns:xsd="http://www.w3.org/2001/XMLSchema" xmlns:xs="http://www.w3.org/2001/XMLSchema" xmlns:p="http://schemas.microsoft.com/office/2006/metadata/properties" xmlns:ns2="454e0ca8-f85a-4a31-8d71-4ffe87a78ad9" xmlns:ns3="312a1192-3660-462e-832c-8404d30c3ac4" targetNamespace="http://schemas.microsoft.com/office/2006/metadata/properties" ma:root="true" ma:fieldsID="9b35a23f50897de828556f3efb0d8dac" ns2:_="" ns3:_="">
    <xsd:import namespace="454e0ca8-f85a-4a31-8d71-4ffe87a78ad9"/>
    <xsd:import namespace="312a1192-3660-462e-832c-8404d30c3a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4e0ca8-f85a-4a31-8d71-4ffe87a78a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0856b260-1721-458e-a55a-4ad736c78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2a1192-3660-462e-832c-8404d30c3ac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27aeb68-6d70-4cf2-97eb-7cb0c7c792d0}" ma:internalName="TaxCatchAll" ma:showField="CatchAllData" ma:web="312a1192-3660-462e-832c-8404d30c3a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2a1192-3660-462e-832c-8404d30c3ac4" xsi:nil="true"/>
    <lcf76f155ced4ddcb4097134ff3c332f xmlns="454e0ca8-f85a-4a31-8d71-4ffe87a78a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3402C1-22B3-4D43-BF44-46C141CA50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5526E5-3415-414F-9431-42EC6D5987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4e0ca8-f85a-4a31-8d71-4ffe87a78ad9"/>
    <ds:schemaRef ds:uri="312a1192-3660-462e-832c-8404d30c3a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B4A5B0-D4D5-4AF0-87B2-53AEC83F5D9D}">
  <ds:schemaRefs>
    <ds:schemaRef ds:uri="http://schemas.microsoft.com/office/2006/metadata/properties"/>
    <ds:schemaRef ds:uri="http://schemas.microsoft.com/office/infopath/2007/PartnerControls"/>
    <ds:schemaRef ds:uri="312a1192-3660-462e-832c-8404d30c3ac4"/>
    <ds:schemaRef ds:uri="454e0ca8-f85a-4a31-8d71-4ffe87a78a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DPGF LOT1C</vt:lpstr>
      <vt:lpstr>'DPGF LOT1C'!Impression_des_titres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Sierri</dc:creator>
  <cp:lastModifiedBy>Stéphane Laurent</cp:lastModifiedBy>
  <cp:lastPrinted>2022-06-27T15:26:36Z</cp:lastPrinted>
  <dcterms:created xsi:type="dcterms:W3CDTF">2022-06-23T18:00:49Z</dcterms:created>
  <dcterms:modified xsi:type="dcterms:W3CDTF">2026-07-15T07:40:31Z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2021-07-26T00:00:00Z</vt:filetime>
  </property>
  <property fmtid="{D5CDD505-2E9C-101B-9397-08002B2CF9AE}" pid="3" name="Creator">
    <vt:lpwstr>PDFsam Enhanced 7</vt:lpwstr>
  </property>
  <property fmtid="{D5CDD505-2E9C-101B-9397-08002B2CF9AE}" pid="4" name="LastSaved">
    <vt:filetime>2022-06-23T00:00:00Z</vt:filetime>
  </property>
  <property fmtid="{D5CDD505-2E9C-101B-9397-08002B2CF9AE}" pid="5" name="Producer">
    <vt:lpwstr>PDFsam Enhanced 7</vt:lpwstr>
  </property>
  <property fmtid="{D5CDD505-2E9C-101B-9397-08002B2CF9AE}" pid="6" name="ContentTypeId">
    <vt:lpwstr>0x010100CFBAE8017890D0428B89C23A8C3A65C0</vt:lpwstr>
  </property>
</Properties>
</file>