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Z:\03-LOGEMENT COLLECTIF\02-PROMOTEUR\NOVAPOLIS IMMO\MOE FLUIDES-VIERGE2\02-ETUDE\09-ENVOI\2026.07.09\PIECES ECRITES\"/>
    </mc:Choice>
  </mc:AlternateContent>
  <xr:revisionPtr revIDLastSave="0" documentId="13_ncr:1_{BFA6CB3E-8230-4138-973C-B1E49A89E30F}" xr6:coauthVersionLast="47" xr6:coauthVersionMax="47" xr10:uidLastSave="{00000000-0000-0000-0000-000000000000}"/>
  <bookViews>
    <workbookView xWindow="28680" yWindow="-1185" windowWidth="29040" windowHeight="15720" tabRatio="881" activeTab="1" xr2:uid="{00000000-000D-0000-FFFF-FFFF00000000}"/>
  </bookViews>
  <sheets>
    <sheet name="RENS GENERAL" sheetId="46" r:id="rId1"/>
    <sheet name="DPGF" sheetId="45" r:id="rId2"/>
  </sheets>
  <definedNames>
    <definedName name="_xlnm.Print_Titles" localSheetId="1">DPGF!$1:$3</definedName>
    <definedName name="_xlnm.Print_Area" localSheetId="1">DPGF!$A$1:$H$182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5" i="45" l="1"/>
  <c r="E144" i="45"/>
  <c r="E98" i="45"/>
  <c r="E101" i="45"/>
  <c r="E84" i="45"/>
  <c r="E110" i="45"/>
  <c r="E123" i="45"/>
  <c r="E106" i="45"/>
  <c r="E105" i="45"/>
  <c r="E102" i="45"/>
  <c r="E100" i="45"/>
  <c r="E97" i="45"/>
  <c r="E73" i="45" l="1"/>
  <c r="E71" i="45"/>
  <c r="E44" i="45"/>
  <c r="E30" i="45"/>
  <c r="H8" i="45" l="1"/>
  <c r="A135" i="45"/>
  <c r="A137" i="45" s="1"/>
  <c r="A148" i="45" s="1"/>
  <c r="H130" i="45"/>
  <c r="H128" i="45"/>
  <c r="H127" i="45" l="1"/>
  <c r="H126" i="45"/>
  <c r="H131" i="45" l="1"/>
  <c r="H132" i="45"/>
  <c r="H129" i="45"/>
  <c r="A138" i="45"/>
  <c r="A141" i="45" s="1"/>
  <c r="A142" i="45" s="1"/>
  <c r="C159" i="45" l="1"/>
  <c r="C160" i="45"/>
  <c r="C158" i="45"/>
  <c r="A160" i="45"/>
  <c r="A159" i="45"/>
  <c r="A158" i="45"/>
  <c r="A11" i="45"/>
  <c r="A14" i="45" s="1"/>
  <c r="A12" i="45" l="1"/>
  <c r="A13" i="45" s="1"/>
  <c r="A15" i="45"/>
  <c r="A17" i="45" s="1"/>
  <c r="A19" i="45"/>
  <c r="A22" i="45" l="1"/>
  <c r="A20" i="45"/>
  <c r="A21" i="45" s="1"/>
  <c r="A143" i="45" l="1"/>
  <c r="A146" i="45" s="1"/>
  <c r="A23" i="45"/>
  <c r="A25" i="45" s="1"/>
  <c r="A27" i="45" s="1"/>
  <c r="A58" i="45" s="1"/>
  <c r="A95" i="45" s="1"/>
  <c r="A109" i="45" s="1"/>
  <c r="A147" i="45" l="1"/>
  <c r="A111" i="45"/>
  <c r="A2" i="45" l="1"/>
  <c r="E2" i="45"/>
  <c r="A5" i="45" l="1"/>
  <c r="G161" i="45" l="1"/>
  <c r="G162" i="45" s="1"/>
  <c r="G163" i="45" s="1"/>
  <c r="A6" i="45"/>
  <c r="A7" i="45" s="1"/>
</calcChain>
</file>

<file path=xl/sharedStrings.xml><?xml version="1.0" encoding="utf-8"?>
<sst xmlns="http://schemas.openxmlformats.org/spreadsheetml/2006/main" count="235" uniqueCount="141">
  <si>
    <t>Description</t>
  </si>
  <si>
    <t>Totaux</t>
  </si>
  <si>
    <t>Poste</t>
  </si>
  <si>
    <t>Montant H.T.</t>
  </si>
  <si>
    <t>TOTAL T.T.C.</t>
  </si>
  <si>
    <t>RECAPITULATIF GENERAL</t>
  </si>
  <si>
    <t>TVA 20%.</t>
  </si>
  <si>
    <t>NOTA :</t>
  </si>
  <si>
    <t>A</t>
  </si>
  <si>
    <t>L'Entreprise :</t>
  </si>
  <si>
    <t>Unités</t>
  </si>
  <si>
    <t>QBet</t>
  </si>
  <si>
    <t>Q Ent</t>
  </si>
  <si>
    <t>Prix Unitaires</t>
  </si>
  <si>
    <t>EUROS</t>
  </si>
  <si>
    <t>LE</t>
  </si>
  <si>
    <t>U</t>
  </si>
  <si>
    <t>Ens</t>
  </si>
  <si>
    <t>MAITRE D'OUVRAGE</t>
  </si>
  <si>
    <t>MAITRE D'ŒUVRE</t>
  </si>
  <si>
    <t>AFFAIRE</t>
  </si>
  <si>
    <t>OPERATION :</t>
  </si>
  <si>
    <t xml:space="preserve">Numero de LOT </t>
  </si>
  <si>
    <t>CH</t>
  </si>
  <si>
    <t>Les dimensions sont données à titre indicatives. Les cotes finales seront prises par l'entrepreneur qui devra proposer l'ensemble des détails au maître d'œuvre</t>
  </si>
  <si>
    <t>Le quantitatif est fourni à titre indicatif, ce n'est pas une pièce contractuelle. A ce titre l'entrepreneur ne pourra se prévaloir d'une quelconque imprécision et/ou d'un oubli pour refuser de réaliser tout ou partie d'ouvrage.</t>
  </si>
  <si>
    <t>FICHE DE RENSEIGNEMENT</t>
  </si>
  <si>
    <t>PM</t>
  </si>
  <si>
    <t>TOTAL CHAPITRE 1</t>
  </si>
  <si>
    <t>TOTAL CHAPITRE 2</t>
  </si>
  <si>
    <t>TOTAL CHAPITRE 3</t>
  </si>
  <si>
    <t>Le présent cadre de bordereau estimatif est donné à titre indicatif et il n'est pas limitatif et contractuel. L'entrepreneur doit, tous les éléments éventuels complémentaires à ce bordereau, afin qu'il contienne, tous les travaux relatifs à l'exécution, suivant les règles de l'art de son lot.</t>
  </si>
  <si>
    <t>TOUTES LES ENTREPRISES DEVRONT IMPERATIVEMENT RESPECTER LA QUALITE DE MATERIEL DEMANDE.</t>
  </si>
  <si>
    <t>LES ENTREPRISES NE REPONDANT PAS AVEC LA MARQUE DU MATERIEL  DEMANDE DEVRONT OBLIGATOIREMENT JOINDRE A LEUR OFFRE  LES DOCUMENTS TECHNIQUES DU MATERIEL PROPOSE. TOUTE OFFRE INCOMPLETE OU NE RESPECTANT PAS LES CRITERES DE QUALITE DEMANDES NE SERA PAS PRISE EN CONSIDERATION.</t>
  </si>
  <si>
    <t xml:space="preserve">ENTREPRISE RETENUE </t>
  </si>
  <si>
    <t>SAS AXIO INGENIERIE</t>
  </si>
  <si>
    <t>393 rue Ettore Bugatti</t>
  </si>
  <si>
    <t>Mail : Axio.ingenierie@gmail.com</t>
  </si>
  <si>
    <t>RENS COMMUNE</t>
  </si>
  <si>
    <t>RENS DEPT</t>
  </si>
  <si>
    <t>LOT : ELECTRICITE CFO CFA</t>
  </si>
  <si>
    <t>GENERALITES</t>
  </si>
  <si>
    <t>ETUDES</t>
  </si>
  <si>
    <t>Frais de bureau de contrôle technique et consuel</t>
  </si>
  <si>
    <t>COURANT FORT</t>
  </si>
  <si>
    <t>TRAVAUX PRELIMINAIRES</t>
  </si>
  <si>
    <t>Forfait mise en place d'une prise de terre de chantier, si la prise de terre définitive ne peut être immédiatement exécutée / conservée</t>
  </si>
  <si>
    <t>LIAISONS A LA TERRE ET EQUIPOTENTIELLES</t>
  </si>
  <si>
    <t>Circuit de terre</t>
  </si>
  <si>
    <t>Réalisation d'une prise de terre et dérivations, y compris percements, répartiteurs, barrettes de coupure/mesure et toutes sujétions de mise en œuvre et de passage de câbles</t>
  </si>
  <si>
    <t>Liaisons équipotentielles</t>
  </si>
  <si>
    <t>Liaisons équipotentielles principales et secondaires</t>
  </si>
  <si>
    <t>RACCORDEMENT ELECTRIQUE</t>
  </si>
  <si>
    <t>Assistance au Maître d’Ouvrage pour les démarches auprès d'ENEDIS (demande de raccordement, bilan de puissance, etc.)</t>
  </si>
  <si>
    <t>EQUIPEMENTS</t>
  </si>
  <si>
    <t>Distribution et équipements</t>
  </si>
  <si>
    <t>Prises</t>
  </si>
  <si>
    <t>Alimentations spécifiques</t>
  </si>
  <si>
    <t>Eclairages</t>
  </si>
  <si>
    <t>Extérieur</t>
  </si>
  <si>
    <t>Interrupteurs</t>
  </si>
  <si>
    <t>Les fourreaux et câblages sont dus au présent lot.</t>
  </si>
  <si>
    <t>COURANT FAIBLE</t>
  </si>
  <si>
    <t>TELEPHONIE ET INTERNET</t>
  </si>
  <si>
    <t>Matériel comprenant accessoires et toutes sujétions de pose</t>
  </si>
  <si>
    <t>Matériel comprenant accessoires et toutes sujétions de pose.</t>
  </si>
  <si>
    <t>Matériel comprenant accessoires, supportage et toutes sujétions de pose</t>
  </si>
  <si>
    <t>Raccordement</t>
  </si>
  <si>
    <t>Repérage</t>
  </si>
  <si>
    <t>Prix y compris supportage, câblage, connecteurs, raccordements, boites, conduits, percements, rebouchages, accessoires et toutes sujétions de mise en œuvre</t>
  </si>
  <si>
    <t>Appareillage</t>
  </si>
  <si>
    <t>66000 Perpignan</t>
  </si>
  <si>
    <t>Prise de courant 2P+T 10/16A  murale avec support et plaque</t>
  </si>
  <si>
    <t>Interrupteur simple allumage avec support et plaque.</t>
  </si>
  <si>
    <t>Interrupteur va et vient avec support et plaque.</t>
  </si>
  <si>
    <t>Volet roulant</t>
  </si>
  <si>
    <r>
      <rPr>
        <b/>
        <sz val="8"/>
        <rFont val="Calibri"/>
        <family val="2"/>
        <scheme val="minor"/>
      </rPr>
      <t>Recette technique.</t>
    </r>
    <r>
      <rPr>
        <sz val="8"/>
        <rFont val="Calibri"/>
        <family val="2"/>
        <scheme val="minor"/>
      </rPr>
      <t xml:space="preserve">
Dossier administratif, certificat de conformité, schémas, plans, etc.</t>
    </r>
  </si>
  <si>
    <t>Installation de chantier (Comptage, armoire générale, coffrets normalisés et éclairage chantier), y compris câblages, maintien en bon état tout le long de la durée du chantier et dépose en fin de chantier</t>
  </si>
  <si>
    <t>Câble de raccordement électrique depuis REMBT à la charge d'ENEDIS.
Fourreau entre REMBT et compteur par TPC Ø90 non propagateur de flamme IK10.
Tranchée, sable et grillage avertisseur hors lot.</t>
  </si>
  <si>
    <t>Tableau électrique</t>
  </si>
  <si>
    <r>
      <t xml:space="preserve">Prise de courant 2P+T 10/16A </t>
    </r>
    <r>
      <rPr>
        <b/>
        <sz val="8"/>
        <color rgb="FF0A0A0C"/>
        <rFont val="Calibri"/>
        <family val="2"/>
        <scheme val="minor"/>
      </rPr>
      <t>étanche</t>
    </r>
    <r>
      <rPr>
        <sz val="8"/>
        <color rgb="FF0A0A0C"/>
        <rFont val="Calibri"/>
        <family val="2"/>
        <scheme val="minor"/>
      </rPr>
      <t xml:space="preserve"> murale avec support et plaque</t>
    </r>
  </si>
  <si>
    <t>Prise de courant lave-linge</t>
  </si>
  <si>
    <t>Cellier</t>
  </si>
  <si>
    <t>Prise de courant réfrigérateur</t>
  </si>
  <si>
    <t>Espace de vie</t>
  </si>
  <si>
    <t>Prise de courant lave-vaisselle</t>
  </si>
  <si>
    <t>Prise de courant hotte</t>
  </si>
  <si>
    <t>Interrupteur double allumage avec support et plaque.</t>
  </si>
  <si>
    <t>Interrupteur témoin lumineux avec support et plaque.</t>
  </si>
  <si>
    <t>Commande volet roulant.</t>
  </si>
  <si>
    <t>Commande centralisée volet roulant.</t>
  </si>
  <si>
    <t>Escalier / dégagement étage</t>
  </si>
  <si>
    <t>WC rez-de-chaussée</t>
  </si>
  <si>
    <t>WC R+1</t>
  </si>
  <si>
    <t>Espace de vie / hall d'entrée</t>
  </si>
  <si>
    <t>Unité extérieure de chauffage</t>
  </si>
  <si>
    <t>Ballon ECS</t>
  </si>
  <si>
    <t>Sèche serviette</t>
  </si>
  <si>
    <t>Four</t>
  </si>
  <si>
    <t>Plaque de cuisson</t>
  </si>
  <si>
    <t>Détecteurs de fumée</t>
  </si>
  <si>
    <t>Détecteurs autonomes avertisseurs de fumées, y-compris accessoires et toutes sujétions de pose</t>
  </si>
  <si>
    <t>TELEVISION</t>
  </si>
  <si>
    <t>3 fourreaux TPC 45 pour réseau entre limite de propriété  et coffret de communication.
Accompagnement technique avec les services techniques de l’opérateur de télécommunication afin de réaliser l’installation du réseau Telecom.</t>
  </si>
  <si>
    <t>Tranchée hors lot.
Raccordement fibre entre limite de propriété et coffret de communication hors lot. Demande à faire auprès du fournisseur d'accès choisi</t>
  </si>
  <si>
    <t>Cablage. Pour mémoire, compris au §3.24</t>
  </si>
  <si>
    <t>Tableau de communication comprenant :
Le DTI
Un répartiteur équipé de socles RJ45
Les socles RJ45 connectés aux câbles de communication alimentant les socles des prises terminales
Le répartiteur passif de télédiffusion
Une barrette de terre
Rail NF EN60715
L'équipement sera en adéquation avec le nombre de socle desservis et à desservir.
Liaison entre barrettes de terre et tableau.</t>
  </si>
  <si>
    <t>Prise RJ45 murale avec support et plaque Grade 3 TV / 6A STP
Informatique</t>
  </si>
  <si>
    <t>Prise RJ45 murale avec support et plaque Grade 3 TV / 6A STP
Télévision</t>
  </si>
  <si>
    <t>Prise de courant sèche-linge</t>
  </si>
  <si>
    <t>Escaliers</t>
  </si>
  <si>
    <t>Type 1 - DCL</t>
  </si>
  <si>
    <t>Placard</t>
  </si>
  <si>
    <t>Type 2 - Applique murale étanche</t>
  </si>
  <si>
    <t>Sèche-serviette</t>
  </si>
  <si>
    <t>Fourniture et pose d'un sèche-serviette de marque Atlantic de type DORIS ETROIT 500w ou équivalent, y compris raccordement, fixations, accessoires et toutes sujétions de poses.</t>
  </si>
  <si>
    <t>Etudes, bilan de puissances, plans d'exécution, plans d'installation et de réservations, schémas,  notes de calcul, etc. + DOE et tous documents d'execution demandés par la maîtrise d'ouvrage, la maîtrise d'œuvre et le bureau de contrôle</t>
  </si>
  <si>
    <t>NOVAPOLIS IMMOBILIER</t>
  </si>
  <si>
    <t>837bis All. De Paris</t>
  </si>
  <si>
    <t>83500 La Seyne-sur-Mer</t>
  </si>
  <si>
    <t>novapolis.immo@gmail.com</t>
  </si>
  <si>
    <t xml:space="preserve">CONSTRUCTION DE  18 LOGEMENTS </t>
  </si>
  <si>
    <t>GESTION DES VOLETS ROULANTS</t>
  </si>
  <si>
    <t>Fourniture et pose d'une box de gestion bioclimatique, de marque TYWELL STARTER ou techniquement équivalent, y compris raccordement, sonde intérieure, sonde extérieure, sonde d'ensoleillement, accessoires et toutes sujétions de poses.</t>
  </si>
  <si>
    <t>SONNETTE</t>
  </si>
  <si>
    <t>Fourniture et pose d'une sonnette avec carillon de marque LEGRAND réf 094253 ou équivalent, y compris accessoires et toutes sujétions de poses.</t>
  </si>
  <si>
    <t>AUREILLE</t>
  </si>
  <si>
    <t>BOUCHES DU RHONE</t>
  </si>
  <si>
    <r>
      <t xml:space="preserve">Armoire TGBT, platine compteur / disjoncteur, y-compris toutes sujétions de pose.
</t>
    </r>
    <r>
      <rPr>
        <sz val="8"/>
        <color rgb="FFFF0000"/>
        <rFont val="Calibri"/>
        <family val="2"/>
        <scheme val="minor"/>
      </rPr>
      <t xml:space="preserve">Avec réserve d'emplacement 20%.
</t>
    </r>
    <r>
      <rPr>
        <sz val="8"/>
        <rFont val="Calibri"/>
        <family val="2"/>
        <scheme val="minor"/>
      </rPr>
      <t>Tableau de protection avec interrupteurs différentiels et disjoncteurs selon NF C15-100. y compris comptages 5 usages et indicateur de consommation.
Y-compris accessoires et toutes sujétions de pose.</t>
    </r>
  </si>
  <si>
    <t>Hall d'entrée fermé</t>
  </si>
  <si>
    <t>Prise de courant 2P+T 10/16A  murale avec support et plaque plan de travail cuisine, dont micro-ondes</t>
  </si>
  <si>
    <t>Caisson VMC - câble CR1</t>
  </si>
  <si>
    <t>Salle de bains / salle d'eau</t>
  </si>
  <si>
    <t>Chambres</t>
  </si>
  <si>
    <t>WC</t>
  </si>
  <si>
    <t>Bouche VMC</t>
  </si>
  <si>
    <t>DCL applique</t>
  </si>
  <si>
    <t>DCL plafond</t>
  </si>
  <si>
    <t>DCL étanche plafond</t>
  </si>
  <si>
    <t>DCL étanche applique</t>
  </si>
  <si>
    <t>Pour mémoire. Inclus au §3.2.
Le tableau de communication devra permettre le raccordement d'une future antenne de réception TNT et la répartition du signal sur les prises RJ45 prévues.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</si>
</sst>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00\ _€_-;\-* #,##0.00\ _€_-;_-* &quot;-&quot;??\ _€_-;_-@_-"/>
    <numFmt numFmtId="165" formatCode="_([$€]* #,##0.00_);_([$€]* \(#,##0.00\);_([$€]* &quot;-&quot;??_);_(@_)"/>
    <numFmt numFmtId="166" formatCode="_-* #,##0.00\ [$€-1]_-;\-* #,##0.00\ [$€-1]_-;_-* &quot;-&quot;??\ [$€-1]_-;_-@_-"/>
    <numFmt numFmtId="167" formatCode="#,##0.00\ _€"/>
    <numFmt numFmtId="168" formatCode="0.000"/>
  </numFmts>
  <fonts count="3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sz val="10"/>
      <name val="Arial"/>
      <family val="2"/>
    </font>
    <font>
      <sz val="10"/>
      <name val="Helv"/>
    </font>
    <font>
      <sz val="10"/>
      <name val="Times New Roman"/>
      <family val="1"/>
    </font>
    <font>
      <b/>
      <sz val="10"/>
      <name val="Times New Roman"/>
      <family val="1"/>
    </font>
    <font>
      <b/>
      <i/>
      <sz val="10"/>
      <name val="Times New Roman"/>
      <family val="1"/>
    </font>
    <font>
      <b/>
      <sz val="8"/>
      <name val="Helv"/>
    </font>
    <font>
      <sz val="9"/>
      <name val="Calibri"/>
      <family val="2"/>
      <scheme val="minor"/>
    </font>
    <font>
      <sz val="8"/>
      <name val="Arial"/>
      <family val="2"/>
    </font>
    <font>
      <sz val="10"/>
      <color theme="1"/>
      <name val="Calibri"/>
      <family val="2"/>
      <scheme val="minor"/>
    </font>
    <font>
      <sz val="12"/>
      <name val="Arial"/>
      <family val="2"/>
    </font>
    <font>
      <b/>
      <sz val="9"/>
      <color rgb="FF141516"/>
      <name val="Calibri"/>
      <family val="2"/>
      <scheme val="minor"/>
    </font>
    <font>
      <sz val="9"/>
      <color rgb="FF0A0A0C"/>
      <name val="Calibri"/>
      <family val="2"/>
      <scheme val="minor"/>
    </font>
    <font>
      <b/>
      <sz val="9"/>
      <name val="Calibri"/>
      <family val="2"/>
      <scheme val="minor"/>
    </font>
    <font>
      <b/>
      <sz val="9"/>
      <color rgb="FF000003"/>
      <name val="Calibri"/>
      <family val="2"/>
      <scheme val="minor"/>
    </font>
    <font>
      <i/>
      <sz val="9"/>
      <name val="Calibri"/>
      <family val="2"/>
      <scheme val="minor"/>
    </font>
    <font>
      <b/>
      <sz val="8"/>
      <name val="Calibri"/>
      <family val="2"/>
      <scheme val="minor"/>
    </font>
    <font>
      <sz val="8"/>
      <name val="Calibri"/>
      <family val="2"/>
      <scheme val="minor"/>
    </font>
    <font>
      <b/>
      <sz val="8"/>
      <color rgb="FF141516"/>
      <name val="Calibri"/>
      <family val="2"/>
      <scheme val="minor"/>
    </font>
    <font>
      <sz val="8"/>
      <color rgb="FF0A0A0C"/>
      <name val="Calibri"/>
      <family val="2"/>
      <scheme val="minor"/>
    </font>
    <font>
      <u/>
      <sz val="10"/>
      <color theme="10"/>
      <name val="Arial"/>
      <family val="2"/>
    </font>
    <font>
      <b/>
      <sz val="8"/>
      <color rgb="FFFF0000"/>
      <name val="Calibri"/>
      <family val="2"/>
      <scheme val="minor"/>
    </font>
    <font>
      <b/>
      <u/>
      <sz val="8"/>
      <color rgb="FF0A0A0C"/>
      <name val="Calibri"/>
      <family val="2"/>
      <scheme val="minor"/>
    </font>
    <font>
      <sz val="8"/>
      <color rgb="FFFF0000"/>
      <name val="Calibri"/>
      <family val="2"/>
      <scheme val="minor"/>
    </font>
    <font>
      <b/>
      <sz val="8"/>
      <color rgb="FF0A0A0C"/>
      <name val="Calibri"/>
      <family val="2"/>
      <scheme val="minor"/>
    </font>
    <font>
      <u/>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s>
  <borders count="42">
    <border>
      <left/>
      <right/>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auto="1"/>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s>
  <cellStyleXfs count="84">
    <xf numFmtId="0" fontId="0" fillId="0" borderId="0"/>
    <xf numFmtId="165" fontId="8" fillId="0" borderId="0" applyFont="0" applyFill="0" applyBorder="0" applyAlignment="0" applyProtection="0"/>
    <xf numFmtId="0" fontId="9" fillId="0" borderId="0"/>
    <xf numFmtId="0" fontId="9"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10" fillId="0" borderId="0">
      <alignment horizontal="left"/>
    </xf>
    <xf numFmtId="0" fontId="11" fillId="0" borderId="0">
      <alignment horizontal="left"/>
    </xf>
    <xf numFmtId="4" fontId="9" fillId="0" borderId="0" applyFont="0" applyFill="0" applyBorder="0" applyAlignment="0" applyProtection="0"/>
    <xf numFmtId="0" fontId="13" fillId="1" borderId="0">
      <alignment horizontal="center"/>
    </xf>
    <xf numFmtId="0" fontId="12" fillId="0" borderId="0">
      <alignment horizontal="right"/>
    </xf>
    <xf numFmtId="44" fontId="5" fillId="0" borderId="0" applyFont="0" applyFill="0" applyBorder="0" applyAlignment="0" applyProtection="0"/>
    <xf numFmtId="0" fontId="4" fillId="0" borderId="0"/>
    <xf numFmtId="0" fontId="27" fillId="0" borderId="0" applyNumberFormat="0" applyFill="0" applyBorder="0" applyAlignment="0" applyProtection="0"/>
    <xf numFmtId="0" fontId="3" fillId="0" borderId="0"/>
    <xf numFmtId="44" fontId="5" fillId="0" borderId="0" applyFont="0" applyFill="0" applyBorder="0" applyAlignment="0" applyProtection="0"/>
    <xf numFmtId="0" fontId="2" fillId="0" borderId="0"/>
    <xf numFmtId="0" fontId="2" fillId="0" borderId="0"/>
    <xf numFmtId="44" fontId="5" fillId="0" borderId="0" applyFont="0" applyFill="0" applyBorder="0" applyAlignment="0" applyProtection="0"/>
    <xf numFmtId="0" fontId="1" fillId="0" borderId="0"/>
    <xf numFmtId="0" fontId="1" fillId="0" borderId="0"/>
    <xf numFmtId="0" fontId="27" fillId="0" borderId="0" applyNumberFormat="0" applyFill="0" applyBorder="0" applyAlignment="0" applyProtection="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0" fontId="1" fillId="0" borderId="0"/>
    <xf numFmtId="0" fontId="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 fillId="0" borderId="0"/>
    <xf numFmtId="0" fontId="1" fillId="0" borderId="0"/>
  </cellStyleXfs>
  <cellXfs count="151">
    <xf numFmtId="0" fontId="0" fillId="0" borderId="0" xfId="0"/>
    <xf numFmtId="0" fontId="14" fillId="0" borderId="31" xfId="0" applyFont="1" applyBorder="1" applyAlignment="1" applyProtection="1">
      <alignment horizontal="center" vertical="center" wrapText="1" shrinkToFit="1"/>
      <protection locked="0"/>
    </xf>
    <xf numFmtId="0" fontId="16" fillId="5" borderId="4" xfId="0" applyFont="1" applyFill="1" applyBorder="1" applyAlignment="1">
      <alignment horizont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16" fillId="5" borderId="4" xfId="16" applyFont="1" applyFill="1" applyBorder="1" applyAlignment="1">
      <alignment horizontal="center"/>
    </xf>
    <xf numFmtId="0" fontId="16" fillId="0" borderId="4" xfId="16" applyFont="1" applyBorder="1" applyAlignment="1">
      <alignment vertical="top" wrapText="1"/>
    </xf>
    <xf numFmtId="49" fontId="14" fillId="4" borderId="6" xfId="0" applyNumberFormat="1" applyFont="1" applyFill="1" applyBorder="1" applyAlignment="1" applyProtection="1">
      <alignment horizontal="center" vertical="center" wrapText="1" shrinkToFit="1"/>
      <protection locked="0"/>
    </xf>
    <xf numFmtId="0" fontId="19" fillId="0" borderId="6" xfId="0" applyFont="1" applyBorder="1" applyAlignment="1" applyProtection="1">
      <alignment horizontal="center" vertical="center" wrapText="1" shrinkToFit="1"/>
      <protection locked="0"/>
    </xf>
    <xf numFmtId="1" fontId="14" fillId="0" borderId="1" xfId="8" applyNumberFormat="1" applyFont="1" applyFill="1" applyBorder="1" applyAlignment="1" applyProtection="1">
      <alignment horizontal="center" vertical="center" wrapText="1" shrinkToFit="1"/>
      <protection locked="0"/>
    </xf>
    <xf numFmtId="0" fontId="14" fillId="0" borderId="0" xfId="0" applyFont="1" applyAlignment="1">
      <alignment vertical="center" wrapText="1"/>
    </xf>
    <xf numFmtId="0" fontId="14" fillId="4" borderId="2" xfId="0" applyFont="1" applyFill="1" applyBorder="1" applyAlignment="1" applyProtection="1">
      <alignment horizontal="center" vertical="center" wrapText="1" shrinkToFit="1"/>
      <protection locked="0"/>
    </xf>
    <xf numFmtId="1" fontId="14" fillId="4" borderId="6" xfId="0" applyNumberFormat="1" applyFont="1" applyFill="1" applyBorder="1" applyAlignment="1" applyProtection="1">
      <alignment horizontal="center" vertical="center" wrapText="1" shrinkToFit="1"/>
      <protection locked="0"/>
    </xf>
    <xf numFmtId="0" fontId="14" fillId="0" borderId="0" xfId="0" applyFont="1" applyAlignment="1">
      <alignment wrapText="1" shrinkToFit="1"/>
    </xf>
    <xf numFmtId="0" fontId="14" fillId="0" borderId="0" xfId="0" applyFont="1" applyAlignment="1">
      <alignment wrapText="1"/>
    </xf>
    <xf numFmtId="0" fontId="14" fillId="0" borderId="0" xfId="0" applyFont="1" applyAlignment="1">
      <alignment horizontal="center" vertical="center" wrapText="1"/>
    </xf>
    <xf numFmtId="0" fontId="14" fillId="0" borderId="0" xfId="0" applyFont="1" applyAlignment="1" applyProtection="1">
      <alignment horizontal="center" vertical="center" wrapText="1" shrinkToFit="1"/>
      <protection locked="0"/>
    </xf>
    <xf numFmtId="0" fontId="14" fillId="0" borderId="0" xfId="0" applyFont="1" applyAlignment="1" applyProtection="1">
      <alignment vertical="top" wrapText="1" shrinkToFit="1"/>
      <protection locked="0"/>
    </xf>
    <xf numFmtId="0" fontId="19" fillId="0" borderId="0" xfId="0" applyFont="1" applyAlignment="1" applyProtection="1">
      <alignment horizontal="center" vertical="center" wrapText="1"/>
      <protection locked="0"/>
    </xf>
    <xf numFmtId="0" fontId="14" fillId="0" borderId="0" xfId="8" applyNumberFormat="1" applyFont="1" applyFill="1" applyBorder="1" applyAlignment="1" applyProtection="1">
      <alignment horizontal="center" vertical="center" wrapText="1"/>
      <protection locked="0"/>
    </xf>
    <xf numFmtId="0" fontId="20" fillId="0" borderId="0" xfId="0" applyFont="1" applyAlignment="1" applyProtection="1">
      <alignment horizontal="left" vertical="top" wrapText="1"/>
      <protection locked="0"/>
    </xf>
    <xf numFmtId="0" fontId="21" fillId="0" borderId="0" xfId="0" applyFont="1" applyAlignment="1" applyProtection="1">
      <alignment vertical="center" wrapText="1" shrinkToFit="1"/>
      <protection locked="0"/>
    </xf>
    <xf numFmtId="0" fontId="14" fillId="0" borderId="0" xfId="8" applyNumberFormat="1" applyFont="1" applyFill="1" applyBorder="1" applyAlignment="1" applyProtection="1">
      <alignment vertical="center" wrapText="1"/>
      <protection locked="0"/>
    </xf>
    <xf numFmtId="0" fontId="14" fillId="2" borderId="0" xfId="0" applyFont="1" applyFill="1"/>
    <xf numFmtId="0" fontId="14" fillId="0" borderId="0" xfId="0" applyFont="1" applyAlignment="1" applyProtection="1">
      <alignment horizontal="center" vertical="center"/>
      <protection locked="0"/>
    </xf>
    <xf numFmtId="0" fontId="14" fillId="0" borderId="0" xfId="0" applyFont="1" applyAlignment="1" applyProtection="1">
      <alignment horizontal="left" vertical="top"/>
      <protection locked="0"/>
    </xf>
    <xf numFmtId="49" fontId="14" fillId="0" borderId="0" xfId="0" applyNumberFormat="1" applyFont="1" applyProtection="1">
      <protection locked="0"/>
    </xf>
    <xf numFmtId="44" fontId="20" fillId="0" borderId="0" xfId="15" applyFont="1" applyFill="1" applyBorder="1" applyAlignment="1" applyProtection="1">
      <alignment horizontal="center" vertical="center" wrapText="1"/>
      <protection locked="0"/>
    </xf>
    <xf numFmtId="0" fontId="14" fillId="0" borderId="0" xfId="0" applyFont="1"/>
    <xf numFmtId="49" fontId="14" fillId="2" borderId="0" xfId="0" applyNumberFormat="1" applyFont="1" applyFill="1" applyAlignment="1" applyProtection="1">
      <alignment horizontal="left" vertical="center" wrapText="1"/>
      <protection locked="0"/>
    </xf>
    <xf numFmtId="49" fontId="20" fillId="0" borderId="0" xfId="0" applyNumberFormat="1" applyFont="1" applyAlignment="1">
      <alignment vertical="center"/>
    </xf>
    <xf numFmtId="0" fontId="14" fillId="0" borderId="0" xfId="0" applyFont="1" applyAlignment="1">
      <alignment vertical="center"/>
    </xf>
    <xf numFmtId="49" fontId="14" fillId="0" borderId="0" xfId="0" applyNumberFormat="1" applyFont="1" applyAlignment="1">
      <alignment vertical="center" wrapText="1"/>
    </xf>
    <xf numFmtId="49" fontId="20" fillId="2" borderId="29" xfId="0" applyNumberFormat="1" applyFont="1" applyFill="1" applyBorder="1" applyAlignment="1" applyProtection="1">
      <alignment horizontal="center" vertical="center" wrapText="1"/>
      <protection locked="0"/>
    </xf>
    <xf numFmtId="4" fontId="20" fillId="2" borderId="21" xfId="0" applyNumberFormat="1" applyFont="1" applyFill="1" applyBorder="1" applyAlignment="1" applyProtection="1">
      <alignment horizontal="center" vertical="center" wrapText="1"/>
      <protection locked="0"/>
    </xf>
    <xf numFmtId="49" fontId="23" fillId="4" borderId="1" xfId="0" applyNumberFormat="1" applyFont="1" applyFill="1" applyBorder="1" applyAlignment="1">
      <alignment horizontal="left" vertical="center" wrapText="1" shrinkToFit="1"/>
    </xf>
    <xf numFmtId="0" fontId="24" fillId="0" borderId="6" xfId="10" applyFont="1" applyBorder="1" applyAlignment="1">
      <alignment vertical="center" wrapText="1"/>
    </xf>
    <xf numFmtId="0" fontId="5" fillId="0" borderId="0" xfId="0" applyFont="1" applyAlignment="1">
      <alignment vertical="center" wrapText="1" shrinkToFit="1"/>
    </xf>
    <xf numFmtId="2" fontId="20" fillId="2" borderId="21" xfId="0" applyNumberFormat="1" applyFont="1" applyFill="1" applyBorder="1" applyAlignment="1" applyProtection="1">
      <alignment horizontal="center" vertical="center" wrapText="1"/>
      <protection locked="0"/>
    </xf>
    <xf numFmtId="2" fontId="14" fillId="0" borderId="1" xfId="8" applyNumberFormat="1" applyFont="1" applyFill="1" applyBorder="1" applyAlignment="1" applyProtection="1">
      <alignment horizontal="center" vertical="center" wrapText="1" shrinkToFit="1"/>
      <protection locked="0"/>
    </xf>
    <xf numFmtId="2" fontId="14" fillId="0" borderId="0" xfId="0" applyNumberFormat="1" applyFont="1" applyAlignment="1" applyProtection="1">
      <alignment horizontal="center" vertical="center" wrapText="1"/>
      <protection locked="0"/>
    </xf>
    <xf numFmtId="2" fontId="14" fillId="0" borderId="0" xfId="0" applyNumberFormat="1" applyFont="1" applyAlignment="1" applyProtection="1">
      <alignment horizontal="center" vertical="center" wrapText="1" shrinkToFit="1"/>
      <protection locked="0"/>
    </xf>
    <xf numFmtId="2" fontId="14" fillId="0" borderId="0" xfId="8" applyNumberFormat="1" applyFont="1" applyFill="1" applyBorder="1" applyAlignment="1" applyProtection="1">
      <alignment vertical="center" wrapText="1"/>
      <protection locked="0"/>
    </xf>
    <xf numFmtId="2" fontId="14" fillId="0" borderId="0" xfId="0" applyNumberFormat="1" applyFont="1" applyAlignment="1" applyProtection="1">
      <alignment horizontal="center" vertical="center"/>
      <protection locked="0"/>
    </xf>
    <xf numFmtId="2" fontId="14" fillId="2" borderId="0" xfId="0" applyNumberFormat="1" applyFont="1" applyFill="1" applyAlignment="1" applyProtection="1">
      <alignment horizontal="left" vertical="center" wrapText="1"/>
      <protection locked="0"/>
    </xf>
    <xf numFmtId="2" fontId="24" fillId="6" borderId="14" xfId="0" applyNumberFormat="1" applyFont="1" applyFill="1" applyBorder="1" applyAlignment="1">
      <alignment horizontal="right" vertical="center" wrapText="1" shrinkToFit="1"/>
    </xf>
    <xf numFmtId="2" fontId="14" fillId="0" borderId="15" xfId="0" applyNumberFormat="1" applyFont="1" applyBorder="1" applyAlignment="1" applyProtection="1">
      <alignment horizontal="center" vertical="center" wrapText="1" shrinkToFit="1"/>
      <protection locked="0"/>
    </xf>
    <xf numFmtId="49" fontId="25" fillId="3" borderId="10" xfId="0" applyNumberFormat="1" applyFont="1" applyFill="1" applyBorder="1" applyAlignment="1" applyProtection="1">
      <alignment horizontal="left" vertical="center" wrapText="1"/>
      <protection locked="0"/>
    </xf>
    <xf numFmtId="49" fontId="23" fillId="4" borderId="1" xfId="0" applyNumberFormat="1" applyFont="1" applyFill="1" applyBorder="1" applyAlignment="1" applyProtection="1">
      <alignment horizontal="left" vertical="top" wrapText="1" shrinkToFit="1"/>
      <protection locked="0"/>
    </xf>
    <xf numFmtId="0" fontId="17" fillId="0" borderId="0" xfId="0" applyFont="1" applyAlignment="1">
      <alignment horizontal="center" vertical="center"/>
    </xf>
    <xf numFmtId="0" fontId="5" fillId="5" borderId="4" xfId="0" applyFont="1" applyFill="1" applyBorder="1" applyAlignment="1">
      <alignment horizontal="center"/>
    </xf>
    <xf numFmtId="0" fontId="7" fillId="0" borderId="0" xfId="0" applyFont="1"/>
    <xf numFmtId="0" fontId="6" fillId="0" borderId="4" xfId="0" applyFont="1" applyBorder="1" applyAlignment="1">
      <alignment horizontal="center" vertical="center"/>
    </xf>
    <xf numFmtId="0" fontId="5" fillId="0" borderId="4" xfId="0" applyFont="1" applyBorder="1" applyAlignment="1">
      <alignment horizontal="center" vertical="center"/>
    </xf>
    <xf numFmtId="0" fontId="6" fillId="0" borderId="4" xfId="16" applyFont="1" applyBorder="1" applyAlignment="1">
      <alignment horizontal="center" vertical="center"/>
    </xf>
    <xf numFmtId="2" fontId="14" fillId="0" borderId="6" xfId="0" applyNumberFormat="1" applyFont="1" applyBorder="1" applyAlignment="1" applyProtection="1">
      <alignment horizontal="center" vertical="center" wrapText="1" shrinkToFit="1"/>
      <protection locked="0"/>
    </xf>
    <xf numFmtId="2" fontId="20" fillId="2" borderId="22" xfId="0" applyNumberFormat="1" applyFont="1" applyFill="1" applyBorder="1" applyAlignment="1" applyProtection="1">
      <alignment horizontal="center" vertical="center" wrapText="1"/>
      <protection locked="0"/>
    </xf>
    <xf numFmtId="0" fontId="20" fillId="0" borderId="32"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shrinkToFit="1"/>
      <protection locked="0"/>
    </xf>
    <xf numFmtId="0" fontId="6" fillId="0" borderId="11" xfId="16" applyFont="1" applyBorder="1" applyAlignment="1">
      <alignment horizontal="center" vertical="center" wrapText="1"/>
    </xf>
    <xf numFmtId="0" fontId="24" fillId="0" borderId="6" xfId="10" quotePrefix="1" applyFont="1" applyBorder="1" applyAlignment="1">
      <alignment vertical="center" wrapText="1"/>
    </xf>
    <xf numFmtId="0" fontId="28" fillId="0" borderId="6" xfId="10" applyFont="1" applyBorder="1" applyAlignment="1">
      <alignment vertical="center" wrapText="1"/>
    </xf>
    <xf numFmtId="0" fontId="24" fillId="0" borderId="6" xfId="0" applyFont="1" applyBorder="1" applyAlignment="1">
      <alignment horizontal="left" vertical="center" wrapText="1"/>
    </xf>
    <xf numFmtId="0" fontId="23" fillId="0" borderId="6" xfId="10" applyFont="1" applyBorder="1" applyAlignment="1">
      <alignment vertical="center" wrapText="1"/>
    </xf>
    <xf numFmtId="0" fontId="32" fillId="0" borderId="6" xfId="10" applyFont="1" applyBorder="1" applyAlignment="1">
      <alignment vertical="center" wrapText="1"/>
    </xf>
    <xf numFmtId="0" fontId="27" fillId="0" borderId="9" xfId="17" applyBorder="1" applyAlignment="1">
      <alignment horizontal="center" vertical="center"/>
    </xf>
    <xf numFmtId="167" fontId="24" fillId="0" borderId="1" xfId="8" applyNumberFormat="1" applyFont="1" applyFill="1" applyBorder="1" applyAlignment="1" applyProtection="1">
      <alignment horizontal="left" vertical="center" wrapText="1" shrinkToFit="1"/>
      <protection locked="0"/>
    </xf>
    <xf numFmtId="49" fontId="18" fillId="3" borderId="5" xfId="0" applyNumberFormat="1" applyFont="1" applyFill="1" applyBorder="1" applyAlignment="1" applyProtection="1">
      <alignment vertical="center" wrapText="1"/>
      <protection locked="0"/>
    </xf>
    <xf numFmtId="2" fontId="18" fillId="3" borderId="5" xfId="0" applyNumberFormat="1" applyFont="1" applyFill="1" applyBorder="1" applyAlignment="1" applyProtection="1">
      <alignment vertical="center" wrapText="1"/>
      <protection locked="0"/>
    </xf>
    <xf numFmtId="2" fontId="14" fillId="0" borderId="40" xfId="8" applyNumberFormat="1" applyFont="1" applyFill="1" applyBorder="1" applyAlignment="1" applyProtection="1">
      <alignment horizontal="center" vertical="center" wrapText="1"/>
      <protection locked="0"/>
    </xf>
    <xf numFmtId="49" fontId="25" fillId="3" borderId="24" xfId="0" applyNumberFormat="1" applyFont="1" applyFill="1" applyBorder="1" applyAlignment="1" applyProtection="1">
      <alignment horizontal="left" vertical="center" wrapText="1"/>
      <protection locked="0"/>
    </xf>
    <xf numFmtId="49" fontId="18" fillId="3" borderId="38" xfId="0" applyNumberFormat="1" applyFont="1" applyFill="1" applyBorder="1" applyAlignment="1" applyProtection="1">
      <alignment vertical="center" wrapText="1"/>
      <protection locked="0"/>
    </xf>
    <xf numFmtId="2" fontId="18" fillId="3" borderId="38" xfId="0" applyNumberFormat="1" applyFont="1" applyFill="1" applyBorder="1" applyAlignment="1" applyProtection="1">
      <alignment vertical="center" wrapText="1"/>
      <protection locked="0"/>
    </xf>
    <xf numFmtId="2" fontId="14" fillId="0" borderId="41" xfId="8" applyNumberFormat="1" applyFont="1" applyFill="1" applyBorder="1" applyAlignment="1" applyProtection="1">
      <alignment horizontal="center" vertical="center" wrapText="1"/>
      <protection locked="0"/>
    </xf>
    <xf numFmtId="2" fontId="14" fillId="4" borderId="6" xfId="0" applyNumberFormat="1" applyFont="1" applyFill="1" applyBorder="1" applyAlignment="1" applyProtection="1">
      <alignment horizontal="center" vertical="center" wrapText="1" shrinkToFit="1"/>
      <protection locked="0"/>
    </xf>
    <xf numFmtId="2" fontId="14" fillId="4" borderId="15" xfId="0" applyNumberFormat="1" applyFont="1" applyFill="1" applyBorder="1" applyAlignment="1" applyProtection="1">
      <alignment horizontal="center" vertical="center" wrapText="1" shrinkToFit="1"/>
      <protection locked="0"/>
    </xf>
    <xf numFmtId="2" fontId="14" fillId="0" borderId="6" xfId="8" applyNumberFormat="1" applyFont="1" applyFill="1" applyBorder="1" applyAlignment="1" applyProtection="1">
      <alignment horizontal="center" vertical="center" wrapText="1" shrinkToFit="1"/>
      <protection locked="0"/>
    </xf>
    <xf numFmtId="1" fontId="14" fillId="0" borderId="6" xfId="8" applyNumberFormat="1" applyFont="1" applyFill="1" applyBorder="1" applyAlignment="1" applyProtection="1">
      <alignment horizontal="center" vertical="center" wrapText="1" shrinkToFit="1"/>
      <protection locked="0"/>
    </xf>
    <xf numFmtId="1" fontId="14" fillId="0" borderId="9" xfId="8" applyNumberFormat="1" applyFont="1" applyFill="1" applyBorder="1" applyAlignment="1" applyProtection="1">
      <alignment horizontal="center" vertical="center" wrapText="1" shrinkToFit="1"/>
      <protection locked="0"/>
    </xf>
    <xf numFmtId="2" fontId="14" fillId="0" borderId="9" xfId="8" applyNumberFormat="1" applyFont="1" applyFill="1" applyBorder="1" applyAlignment="1" applyProtection="1">
      <alignment horizontal="center" vertical="center" wrapText="1" shrinkToFit="1"/>
      <protection locked="0"/>
    </xf>
    <xf numFmtId="2" fontId="14" fillId="0" borderId="37" xfId="0" applyNumberFormat="1" applyFont="1" applyBorder="1" applyAlignment="1" applyProtection="1">
      <alignment horizontal="center" vertical="center" wrapText="1" shrinkToFit="1"/>
      <protection locked="0"/>
    </xf>
    <xf numFmtId="49" fontId="25" fillId="3" borderId="7" xfId="0" applyNumberFormat="1" applyFont="1" applyFill="1" applyBorder="1" applyAlignment="1" applyProtection="1">
      <alignment horizontal="left" vertical="center" wrapText="1"/>
      <protection locked="0"/>
    </xf>
    <xf numFmtId="1" fontId="14" fillId="7" borderId="1" xfId="8" applyNumberFormat="1" applyFont="1" applyFill="1" applyBorder="1" applyAlignment="1" applyProtection="1">
      <alignment horizontal="center" vertical="center" wrapText="1" shrinkToFit="1"/>
      <protection locked="0"/>
    </xf>
    <xf numFmtId="49" fontId="26" fillId="0" borderId="0" xfId="0" applyNumberFormat="1" applyFont="1" applyAlignment="1" applyProtection="1">
      <alignment horizontal="left" vertical="top" wrapText="1" shrinkToFit="1"/>
      <protection locked="0"/>
    </xf>
    <xf numFmtId="49" fontId="29" fillId="0" borderId="0" xfId="0" applyNumberFormat="1" applyFont="1" applyAlignment="1" applyProtection="1">
      <alignment horizontal="left" vertical="top" wrapText="1" shrinkToFit="1"/>
      <protection locked="0"/>
    </xf>
    <xf numFmtId="0" fontId="23" fillId="0" borderId="0" xfId="10" applyFont="1" applyAlignment="1">
      <alignment vertical="center" wrapText="1"/>
    </xf>
    <xf numFmtId="0" fontId="19" fillId="0" borderId="15" xfId="0" applyFont="1" applyBorder="1" applyAlignment="1" applyProtection="1">
      <alignment horizontal="center" vertical="center" wrapText="1" shrinkToFit="1"/>
      <protection locked="0"/>
    </xf>
    <xf numFmtId="2" fontId="24" fillId="6" borderId="22" xfId="0" applyNumberFormat="1" applyFont="1" applyFill="1" applyBorder="1" applyAlignment="1">
      <alignment horizontal="right" vertical="center" wrapText="1" shrinkToFit="1"/>
    </xf>
    <xf numFmtId="0" fontId="20" fillId="0" borderId="10" xfId="0" applyFont="1" applyBorder="1" applyAlignment="1" applyProtection="1">
      <alignment horizontal="center" vertical="center" wrapText="1"/>
      <protection locked="0"/>
    </xf>
    <xf numFmtId="0" fontId="20" fillId="0" borderId="10" xfId="0" applyFont="1" applyBorder="1" applyAlignment="1" applyProtection="1">
      <alignment horizontal="left" vertical="top" wrapText="1"/>
      <protection locked="0"/>
    </xf>
    <xf numFmtId="0" fontId="20" fillId="0" borderId="0" xfId="0" applyFont="1" applyAlignment="1" applyProtection="1">
      <alignment horizontal="center" vertical="center" wrapText="1"/>
      <protection locked="0"/>
    </xf>
    <xf numFmtId="0" fontId="14" fillId="0" borderId="0" xfId="0" applyFont="1" applyAlignment="1" applyProtection="1">
      <alignment horizontal="left" vertical="top" wrapText="1"/>
      <protection locked="0"/>
    </xf>
    <xf numFmtId="166" fontId="20" fillId="0" borderId="0" xfId="0" applyNumberFormat="1" applyFont="1" applyAlignment="1" applyProtection="1">
      <alignment horizontal="center" vertical="center" wrapText="1" shrinkToFit="1"/>
      <protection locked="0"/>
    </xf>
    <xf numFmtId="0" fontId="14" fillId="0" borderId="31" xfId="0" applyFont="1" applyBorder="1" applyAlignment="1" applyProtection="1">
      <alignment horizontal="center" vertical="center" wrapText="1" shrinkToFit="1"/>
      <protection locked="0"/>
    </xf>
    <xf numFmtId="0" fontId="14" fillId="0" borderId="2" xfId="0" applyFont="1" applyBorder="1" applyAlignment="1" applyProtection="1">
      <alignment horizontal="center" vertical="center" wrapText="1" shrinkToFit="1"/>
      <protection locked="0"/>
    </xf>
    <xf numFmtId="49" fontId="23" fillId="6" borderId="23" xfId="0" applyNumberFormat="1" applyFont="1" applyFill="1" applyBorder="1" applyAlignment="1">
      <alignment horizontal="center" vertical="center" wrapText="1" shrinkToFit="1"/>
    </xf>
    <xf numFmtId="49" fontId="23" fillId="6" borderId="29" xfId="0" applyNumberFormat="1" applyFont="1" applyFill="1" applyBorder="1" applyAlignment="1">
      <alignment horizontal="center" vertical="center" wrapText="1" shrinkToFit="1"/>
    </xf>
    <xf numFmtId="49" fontId="23" fillId="6" borderId="36" xfId="0" applyNumberFormat="1" applyFont="1" applyFill="1" applyBorder="1" applyAlignment="1">
      <alignment horizontal="center" vertical="center" wrapText="1" shrinkToFit="1"/>
    </xf>
    <xf numFmtId="0" fontId="20" fillId="5" borderId="20" xfId="0" applyFont="1" applyFill="1" applyBorder="1" applyAlignment="1" applyProtection="1">
      <alignment horizontal="center" vertical="center" wrapText="1"/>
      <protection locked="0"/>
    </xf>
    <xf numFmtId="0" fontId="20" fillId="5" borderId="4" xfId="0" applyFont="1" applyFill="1" applyBorder="1" applyAlignment="1" applyProtection="1">
      <alignment horizontal="center" vertical="center" wrapText="1"/>
      <protection locked="0"/>
    </xf>
    <xf numFmtId="49" fontId="23" fillId="6" borderId="19" xfId="0" applyNumberFormat="1" applyFont="1" applyFill="1" applyBorder="1" applyAlignment="1">
      <alignment horizontal="center" vertical="center" wrapText="1" shrinkToFit="1"/>
    </xf>
    <xf numFmtId="49" fontId="23" fillId="6" borderId="3" xfId="0" applyNumberFormat="1" applyFont="1" applyFill="1" applyBorder="1" applyAlignment="1">
      <alignment horizontal="center" vertical="center" wrapText="1" shrinkToFit="1"/>
    </xf>
    <xf numFmtId="49" fontId="23" fillId="6" borderId="12" xfId="0" applyNumberFormat="1" applyFont="1" applyFill="1" applyBorder="1" applyAlignment="1">
      <alignment horizontal="center" vertical="center" wrapText="1" shrinkToFit="1"/>
    </xf>
    <xf numFmtId="49" fontId="25" fillId="3" borderId="39" xfId="0" applyNumberFormat="1" applyFont="1" applyFill="1" applyBorder="1" applyAlignment="1" applyProtection="1">
      <alignment horizontal="center" vertical="center" wrapText="1"/>
      <protection locked="0"/>
    </xf>
    <xf numFmtId="49" fontId="25" fillId="3" borderId="10" xfId="0" applyNumberFormat="1" applyFont="1" applyFill="1" applyBorder="1" applyAlignment="1" applyProtection="1">
      <alignment horizontal="center" vertical="center" wrapText="1"/>
      <protection locked="0"/>
    </xf>
    <xf numFmtId="49" fontId="23" fillId="4" borderId="31" xfId="0" applyNumberFormat="1" applyFont="1" applyFill="1" applyBorder="1" applyAlignment="1">
      <alignment horizontal="center" vertical="center" wrapText="1" shrinkToFit="1"/>
    </xf>
    <xf numFmtId="49" fontId="23" fillId="4" borderId="2" xfId="0" applyNumberFormat="1" applyFont="1" applyFill="1" applyBorder="1" applyAlignment="1">
      <alignment horizontal="center" vertical="center" wrapText="1" shrinkToFit="1"/>
    </xf>
    <xf numFmtId="0" fontId="14" fillId="2" borderId="31" xfId="0" applyFont="1" applyFill="1" applyBorder="1" applyAlignment="1" applyProtection="1">
      <alignment horizontal="center" vertical="center" wrapText="1" shrinkToFit="1"/>
      <protection locked="0"/>
    </xf>
    <xf numFmtId="0" fontId="14" fillId="2" borderId="2" xfId="0" applyFont="1" applyFill="1" applyBorder="1" applyAlignment="1" applyProtection="1">
      <alignment horizontal="center" vertical="center" wrapText="1" shrinkToFit="1"/>
      <protection locked="0"/>
    </xf>
    <xf numFmtId="0" fontId="20" fillId="2" borderId="16" xfId="2" applyFont="1" applyFill="1" applyBorder="1" applyAlignment="1" applyProtection="1">
      <alignment horizontal="center" vertical="center" wrapText="1"/>
      <protection locked="0"/>
    </xf>
    <xf numFmtId="0" fontId="20" fillId="2" borderId="17" xfId="2" applyFont="1" applyFill="1" applyBorder="1" applyAlignment="1" applyProtection="1">
      <alignment horizontal="center" vertical="center" wrapText="1"/>
      <protection locked="0"/>
    </xf>
    <xf numFmtId="0" fontId="20" fillId="2" borderId="18" xfId="2" applyFont="1" applyFill="1" applyBorder="1" applyAlignment="1" applyProtection="1">
      <alignment horizontal="center" vertical="center" wrapText="1"/>
      <protection locked="0"/>
    </xf>
    <xf numFmtId="0" fontId="20" fillId="2" borderId="23" xfId="0" applyFont="1" applyFill="1" applyBorder="1" applyAlignment="1" applyProtection="1">
      <alignment horizontal="center" vertical="center" wrapText="1"/>
      <protection locked="0"/>
    </xf>
    <xf numFmtId="0" fontId="20" fillId="2" borderId="36" xfId="0" applyFont="1" applyFill="1" applyBorder="1" applyAlignment="1" applyProtection="1">
      <alignment horizontal="center" vertical="center" wrapText="1"/>
      <protection locked="0"/>
    </xf>
    <xf numFmtId="49" fontId="25" fillId="3" borderId="25" xfId="0" applyNumberFormat="1" applyFont="1" applyFill="1" applyBorder="1" applyAlignment="1" applyProtection="1">
      <alignment horizontal="center" vertical="center" wrapText="1"/>
      <protection locked="0"/>
    </xf>
    <xf numFmtId="49" fontId="25" fillId="3" borderId="24" xfId="0" applyNumberFormat="1" applyFont="1" applyFill="1" applyBorder="1" applyAlignment="1" applyProtection="1">
      <alignment horizontal="center" vertical="center" wrapText="1"/>
      <protection locked="0"/>
    </xf>
    <xf numFmtId="2" fontId="20" fillId="0" borderId="3" xfId="3" applyNumberFormat="1" applyFont="1" applyBorder="1" applyAlignment="1" applyProtection="1">
      <alignment horizontal="center" vertical="center" wrapText="1"/>
      <protection locked="0"/>
    </xf>
    <xf numFmtId="2" fontId="20" fillId="0" borderId="13" xfId="3" applyNumberFormat="1" applyFont="1" applyBorder="1" applyAlignment="1" applyProtection="1">
      <alignment horizontal="center" vertical="center" wrapText="1"/>
      <protection locked="0"/>
    </xf>
    <xf numFmtId="0" fontId="14" fillId="0" borderId="19" xfId="3" applyFont="1" applyBorder="1" applyAlignment="1" applyProtection="1">
      <alignment horizontal="center" vertical="center" wrapText="1"/>
      <protection locked="0"/>
    </xf>
    <xf numFmtId="0" fontId="14" fillId="0" borderId="3" xfId="3" applyFont="1" applyBorder="1" applyAlignment="1" applyProtection="1">
      <alignment horizontal="center" vertical="center" wrapText="1"/>
      <protection locked="0"/>
    </xf>
    <xf numFmtId="0" fontId="22" fillId="0" borderId="0" xfId="3" applyFont="1" applyAlignment="1">
      <alignment horizontal="left" vertical="center" wrapText="1"/>
    </xf>
    <xf numFmtId="2" fontId="14" fillId="0" borderId="23" xfId="0" applyNumberFormat="1" applyFont="1" applyBorder="1" applyAlignment="1" applyProtection="1">
      <alignment horizontal="center" vertical="center" wrapText="1"/>
      <protection locked="0"/>
    </xf>
    <xf numFmtId="2" fontId="14" fillId="0" borderId="30" xfId="0" applyNumberFormat="1" applyFont="1" applyBorder="1" applyAlignment="1" applyProtection="1">
      <alignment horizontal="center" vertical="center" wrapText="1"/>
      <protection locked="0"/>
    </xf>
    <xf numFmtId="0" fontId="20" fillId="5" borderId="26" xfId="0" applyFont="1" applyFill="1" applyBorder="1" applyAlignment="1" applyProtection="1">
      <alignment horizontal="center" vertical="center" wrapText="1"/>
      <protection locked="0"/>
    </xf>
    <xf numFmtId="0" fontId="20" fillId="5" borderId="27" xfId="0" applyFont="1" applyFill="1" applyBorder="1" applyAlignment="1" applyProtection="1">
      <alignment horizontal="center" vertical="center" wrapText="1"/>
      <protection locked="0"/>
    </xf>
    <xf numFmtId="0" fontId="14" fillId="5" borderId="27" xfId="0" applyFont="1" applyFill="1" applyBorder="1" applyAlignment="1" applyProtection="1">
      <alignment horizontal="center" vertical="center" wrapText="1"/>
      <protection locked="0"/>
    </xf>
    <xf numFmtId="2" fontId="14" fillId="5" borderId="27" xfId="0" applyNumberFormat="1" applyFont="1" applyFill="1" applyBorder="1" applyAlignment="1" applyProtection="1">
      <alignment horizontal="center" vertical="center" wrapText="1"/>
      <protection locked="0"/>
    </xf>
    <xf numFmtId="2" fontId="14" fillId="5" borderId="28" xfId="0" applyNumberFormat="1" applyFont="1" applyFill="1" applyBorder="1" applyAlignment="1" applyProtection="1">
      <alignment horizontal="center" vertical="center" wrapText="1"/>
      <protection locked="0"/>
    </xf>
    <xf numFmtId="0" fontId="14" fillId="5" borderId="11" xfId="0" applyFont="1" applyFill="1" applyBorder="1" applyAlignment="1" applyProtection="1">
      <alignment horizontal="left" vertical="center" wrapText="1"/>
      <protection locked="0"/>
    </xf>
    <xf numFmtId="0" fontId="14" fillId="5" borderId="3" xfId="0" applyFont="1" applyFill="1" applyBorder="1" applyAlignment="1" applyProtection="1">
      <alignment horizontal="left" vertical="center" wrapText="1"/>
      <protection locked="0"/>
    </xf>
    <xf numFmtId="0" fontId="14" fillId="5" borderId="12" xfId="0" applyFont="1" applyFill="1" applyBorder="1" applyAlignment="1" applyProtection="1">
      <alignment horizontal="left" vertical="center" wrapText="1"/>
      <protection locked="0"/>
    </xf>
    <xf numFmtId="2" fontId="14" fillId="0" borderId="11" xfId="0" applyNumberFormat="1" applyFont="1" applyBorder="1" applyAlignment="1" applyProtection="1">
      <alignment horizontal="center" vertical="center" wrapText="1"/>
      <protection locked="0"/>
    </xf>
    <xf numFmtId="2" fontId="14" fillId="0" borderId="13" xfId="0" applyNumberFormat="1" applyFont="1" applyBorder="1" applyAlignment="1" applyProtection="1">
      <alignment horizontal="center" vertical="center" wrapText="1"/>
      <protection locked="0"/>
    </xf>
    <xf numFmtId="0" fontId="20" fillId="0" borderId="0" xfId="0" applyFont="1" applyAlignment="1" applyProtection="1">
      <alignment horizontal="right" vertical="center" wrapText="1"/>
      <protection locked="0"/>
    </xf>
    <xf numFmtId="2" fontId="14" fillId="0" borderId="19" xfId="0" applyNumberFormat="1" applyFont="1" applyBorder="1" applyAlignment="1" applyProtection="1">
      <alignment horizontal="center" vertical="center" wrapText="1"/>
      <protection locked="0"/>
    </xf>
    <xf numFmtId="0" fontId="20" fillId="0" borderId="10" xfId="0" applyFont="1" applyBorder="1" applyAlignment="1" applyProtection="1">
      <alignment horizontal="right" vertical="center" wrapText="1"/>
      <protection locked="0"/>
    </xf>
    <xf numFmtId="2" fontId="14" fillId="0" borderId="16" xfId="0" applyNumberFormat="1" applyFont="1" applyBorder="1" applyAlignment="1" applyProtection="1">
      <alignment horizontal="center" vertical="center" wrapText="1"/>
      <protection locked="0"/>
    </xf>
    <xf numFmtId="2" fontId="14" fillId="0" borderId="18" xfId="0" applyNumberFormat="1" applyFont="1" applyBorder="1" applyAlignment="1" applyProtection="1">
      <alignment horizontal="center" vertical="center" wrapText="1"/>
      <protection locked="0"/>
    </xf>
    <xf numFmtId="49" fontId="23" fillId="6" borderId="39" xfId="0" applyNumberFormat="1" applyFont="1" applyFill="1" applyBorder="1" applyAlignment="1">
      <alignment horizontal="center" vertical="center" wrapText="1" shrinkToFit="1"/>
    </xf>
    <xf numFmtId="49" fontId="23" fillId="6" borderId="10" xfId="0" applyNumberFormat="1" applyFont="1" applyFill="1" applyBorder="1" applyAlignment="1">
      <alignment horizontal="center" vertical="center" wrapText="1" shrinkToFit="1"/>
    </xf>
    <xf numFmtId="168" fontId="14" fillId="0" borderId="31" xfId="0" applyNumberFormat="1" applyFont="1" applyBorder="1" applyAlignment="1" applyProtection="1">
      <alignment horizontal="center" vertical="center" wrapText="1" shrinkToFit="1"/>
      <protection locked="0"/>
    </xf>
    <xf numFmtId="168" fontId="14" fillId="0" borderId="2" xfId="0" applyNumberFormat="1" applyFont="1" applyBorder="1" applyAlignment="1" applyProtection="1">
      <alignment horizontal="center" vertical="center" wrapText="1" shrinkToFit="1"/>
      <protection locked="0"/>
    </xf>
    <xf numFmtId="49" fontId="20" fillId="0" borderId="0" xfId="0" applyNumberFormat="1" applyFont="1" applyAlignment="1">
      <alignment horizontal="left" vertical="center" wrapText="1"/>
    </xf>
    <xf numFmtId="49" fontId="14" fillId="2" borderId="0" xfId="0" applyNumberFormat="1" applyFont="1" applyFill="1" applyAlignment="1" applyProtection="1">
      <alignment horizontal="left" vertical="center" wrapText="1"/>
      <protection locked="0"/>
    </xf>
    <xf numFmtId="49" fontId="20" fillId="0" borderId="0" xfId="0" applyNumberFormat="1" applyFont="1" applyAlignment="1">
      <alignment horizontal="left" vertical="center"/>
    </xf>
    <xf numFmtId="0" fontId="21" fillId="5" borderId="33" xfId="0" applyFont="1" applyFill="1" applyBorder="1" applyAlignment="1" applyProtection="1">
      <alignment horizontal="center" vertical="center" wrapText="1" shrinkToFit="1"/>
      <protection locked="0"/>
    </xf>
    <xf numFmtId="0" fontId="21" fillId="5" borderId="34" xfId="0" applyFont="1" applyFill="1" applyBorder="1" applyAlignment="1" applyProtection="1">
      <alignment horizontal="center" vertical="center" wrapText="1" shrinkToFit="1"/>
      <protection locked="0"/>
    </xf>
    <xf numFmtId="0" fontId="21" fillId="5" borderId="35" xfId="0" applyFont="1" applyFill="1" applyBorder="1" applyAlignment="1" applyProtection="1">
      <alignment horizontal="center" vertical="center" wrapText="1" shrinkToFit="1"/>
      <protection locked="0"/>
    </xf>
    <xf numFmtId="0" fontId="20" fillId="2" borderId="39" xfId="0" applyFont="1" applyFill="1" applyBorder="1" applyAlignment="1" applyProtection="1">
      <alignment horizontal="center" vertical="center" wrapText="1"/>
      <protection locked="0"/>
    </xf>
    <xf numFmtId="0" fontId="20" fillId="2" borderId="8" xfId="0" applyFont="1" applyFill="1" applyBorder="1" applyAlignment="1" applyProtection="1">
      <alignment horizontal="center" vertical="center" wrapText="1"/>
      <protection locked="0"/>
    </xf>
  </cellXfs>
  <cellStyles count="84">
    <cellStyle name="Debut Chapitre" xfId="11" xr:uid="{00000000-0005-0000-0000-000000000000}"/>
    <cellStyle name="Euro" xfId="1" xr:uid="{00000000-0005-0000-0000-000001000000}"/>
    <cellStyle name="Euro 2" xfId="6" xr:uid="{00000000-0005-0000-0000-000002000000}"/>
    <cellStyle name="Euro 3" xfId="5" xr:uid="{00000000-0005-0000-0000-000003000000}"/>
    <cellStyle name="Lien hypertexte" xfId="17" builtinId="8"/>
    <cellStyle name="Lien hypertexte 2" xfId="25" xr:uid="{BFB7EF43-D17B-413F-9012-9D2F4D744F07}"/>
    <cellStyle name="Milliers 2" xfId="8" xr:uid="{00000000-0005-0000-0000-000004000000}"/>
    <cellStyle name="Milliers 3" xfId="7" xr:uid="{00000000-0005-0000-0000-000005000000}"/>
    <cellStyle name="Milliers 4" xfId="12" xr:uid="{00000000-0005-0000-0000-000006000000}"/>
    <cellStyle name="Monétaire 2" xfId="15" xr:uid="{00000000-0005-0000-0000-000008000000}"/>
    <cellStyle name="Monétaire 2 2" xfId="19" xr:uid="{30F68D86-F599-457A-8FCC-6EF05F181E4D}"/>
    <cellStyle name="Monétaire 2 2 2" xfId="58" xr:uid="{1A97B55B-D162-4DCB-B837-41AFAD5F85BF}"/>
    <cellStyle name="Monétaire 2 2 3" xfId="64" xr:uid="{ACBEF300-E2C1-4651-AD47-E293C463E7F5}"/>
    <cellStyle name="Monétaire 2 2 4" xfId="70" xr:uid="{29A2CE03-6265-42E0-AFA7-0D6A581DDFAD}"/>
    <cellStyle name="Monétaire 2 2 5" xfId="52" xr:uid="{522FCA67-9299-4382-9BE2-3E043D317151}"/>
    <cellStyle name="Monétaire 2 2 6" xfId="46" xr:uid="{E62E9601-4976-4E5A-80F6-848124E6503B}"/>
    <cellStyle name="Monétaire 2 2 7" xfId="33" xr:uid="{88757E1E-CF2D-480E-AB13-3AF1BBF0924F}"/>
    <cellStyle name="Monétaire 2 3" xfId="35" xr:uid="{AF6011D0-F424-4DA3-91BC-68DBC989656E}"/>
    <cellStyle name="Monétaire 2 3 2" xfId="55" xr:uid="{8D196A34-B231-4AFA-BA9C-EFCDFE6DE22B}"/>
    <cellStyle name="Monétaire 2 3 3" xfId="81" xr:uid="{45046DAF-222B-4A1E-933A-C69F6B390EBC}"/>
    <cellStyle name="Monétaire 2 3 4" xfId="48" xr:uid="{E525E788-EB22-47C2-AF82-ABFA08BE5C5F}"/>
    <cellStyle name="Monétaire 2 4" xfId="29" xr:uid="{A146B7AB-3DAD-4E72-8D38-FE9EEBA52143}"/>
    <cellStyle name="Monétaire 2 4 2" xfId="61" xr:uid="{38DB7807-83F3-43BC-B88D-2A26C5127DF6}"/>
    <cellStyle name="Monétaire 2 4 3" xfId="78" xr:uid="{BC4BCD17-61CA-4C34-816D-DD3CB7A67397}"/>
    <cellStyle name="Monétaire 2 4 4" xfId="42" xr:uid="{4B2A9591-741F-4C90-8832-CF84CEB6A89B}"/>
    <cellStyle name="Monétaire 2 5" xfId="26" xr:uid="{2A35960F-4643-4D07-B803-22030FFD7658}"/>
    <cellStyle name="Monétaire 2 5 2" xfId="67" xr:uid="{CD7755EA-391F-41B1-A5AF-980920EDCDA3}"/>
    <cellStyle name="Monétaire 2 5 3" xfId="39" xr:uid="{F958C35B-2D80-449C-98EF-55A5E99A6FE9}"/>
    <cellStyle name="Monétaire 2 6" xfId="49" xr:uid="{DC844A1A-DDBF-49E2-A95A-B968B77B8B10}"/>
    <cellStyle name="Monétaire 2 7" xfId="77" xr:uid="{BA1F8EE8-3713-4AC9-87D1-232795746550}"/>
    <cellStyle name="Monétaire 2 8" xfId="36" xr:uid="{D2D1B6B6-132A-4ED8-877F-090FA3E6C396}"/>
    <cellStyle name="Monétaire 2 9" xfId="22" xr:uid="{BA2199E5-9A17-4D99-A597-86D11466863E}"/>
    <cellStyle name="Monétaire 3" xfId="32" xr:uid="{DFB06D46-D3BA-4CA0-BEBF-09A13DAA6407}"/>
    <cellStyle name="Monétaire 3 2" xfId="74" xr:uid="{2C492436-C3BF-4FDA-9334-046DBFE00C73}"/>
    <cellStyle name="Monétaire 3 3" xfId="79" xr:uid="{0A553F83-54D4-4F61-8678-D72C2DFAEC16}"/>
    <cellStyle name="Monétaire 3 4" xfId="75" xr:uid="{E4199770-74D5-4167-AA7B-3A9AB5B33033}"/>
    <cellStyle name="Monétaire 3 5" xfId="45" xr:uid="{4D94C101-B077-42AC-B41E-00A83342AEA2}"/>
    <cellStyle name="Monétaire 4" xfId="34" xr:uid="{4FF7B140-4233-4F38-A53E-6C0B7E9061DA}"/>
    <cellStyle name="Monétaire 4 2" xfId="76" xr:uid="{1929A05C-8851-4ED2-BD09-4B607EE98257}"/>
    <cellStyle name="Monétaire 4 3" xfId="80" xr:uid="{CE5A83DE-632B-4349-AA4E-454D609A5148}"/>
    <cellStyle name="Monétaire 4 4" xfId="73" xr:uid="{75DB2E7C-54AF-4215-8CC2-9CB65D7957AB}"/>
    <cellStyle name="Monétaire 4 5" xfId="47" xr:uid="{89BD0DB1-85E1-42E4-9A17-7A3C19D342B6}"/>
    <cellStyle name="Normal" xfId="0" builtinId="0"/>
    <cellStyle name="Normal 2" xfId="9" xr:uid="{00000000-0005-0000-0000-00000A000000}"/>
    <cellStyle name="Normal 3" xfId="4" xr:uid="{00000000-0005-0000-0000-00000B000000}"/>
    <cellStyle name="Normal 4" xfId="10" xr:uid="{00000000-0005-0000-0000-00000C000000}"/>
    <cellStyle name="Normal 5" xfId="16" xr:uid="{B81C3CE2-173D-480B-937F-AC936F5930C8}"/>
    <cellStyle name="Normal 5 2" xfId="18" xr:uid="{BABD0F8D-70B3-4383-8EAE-89F786DF6772}"/>
    <cellStyle name="Normal 5 2 2" xfId="21" xr:uid="{92C83746-6862-4FC0-A604-D90A2D85979F}"/>
    <cellStyle name="Normal 5 2 2 2" xfId="60" xr:uid="{A888E4E0-A362-4970-B14C-AECC6C3B2A89}"/>
    <cellStyle name="Normal 5 2 2 3" xfId="66" xr:uid="{E2A8FFB6-3BBC-48EB-B189-F93B9579A218}"/>
    <cellStyle name="Normal 5 2 2 4" xfId="72" xr:uid="{C6A7A3D8-6045-48CF-A62A-AA4E6383C835}"/>
    <cellStyle name="Normal 5 2 2 5" xfId="54" xr:uid="{BC18A5DC-79B4-406B-92B9-A1AFF9D63F2A}"/>
    <cellStyle name="Normal 5 2 2 6" xfId="44" xr:uid="{010F9D19-CFF2-4650-A852-B3062766C4B8}"/>
    <cellStyle name="Normal 5 2 2 7" xfId="31" xr:uid="{5492028D-FB51-47F0-A303-22F6EC2D3B91}"/>
    <cellStyle name="Normal 5 2 3" xfId="28" xr:uid="{DF0FA79D-71FB-40DB-9A72-0DDDF17062E6}"/>
    <cellStyle name="Normal 5 2 3 2" xfId="57" xr:uid="{E5F52444-635F-49BF-B0AD-AFD350CF2A4C}"/>
    <cellStyle name="Normal 5 2 3 3" xfId="41" xr:uid="{28828518-4D90-4A69-94CF-0411B6E979D1}"/>
    <cellStyle name="Normal 5 2 4" xfId="63" xr:uid="{A23B97FA-87BD-4EF0-B171-A4F112660C8C}"/>
    <cellStyle name="Normal 5 2 4 2" xfId="83" xr:uid="{E640A5A5-A0E5-478D-9FE9-FF304F13FF08}"/>
    <cellStyle name="Normal 5 2 5" xfId="69" xr:uid="{9F8F7AAB-D613-4631-B54E-DA609E225E19}"/>
    <cellStyle name="Normal 5 2 6" xfId="51" xr:uid="{8AC7FF4B-40F9-4E50-9071-E4AC7E8B71DD}"/>
    <cellStyle name="Normal 5 2 7" xfId="38" xr:uid="{A05BC692-FA94-46FE-8EE0-78807CCE304E}"/>
    <cellStyle name="Normal 5 2 8" xfId="24" xr:uid="{ED2A034D-0954-46E6-9416-6D58A559D05F}"/>
    <cellStyle name="Normal 5 3" xfId="20" xr:uid="{C895393C-1D63-4C75-8792-62C87CA73D48}"/>
    <cellStyle name="Normal 5 3 2" xfId="59" xr:uid="{5FA64230-30A5-4237-8874-0D6D8448CB82}"/>
    <cellStyle name="Normal 5 3 3" xfId="65" xr:uid="{9E295747-8DA7-413E-9C86-7DB60CFE9E81}"/>
    <cellStyle name="Normal 5 3 4" xfId="71" xr:uid="{62AA8B0B-E7BD-4451-865A-007502AF0F04}"/>
    <cellStyle name="Normal 5 3 5" xfId="53" xr:uid="{F36BF7C6-3DBB-4E53-AABD-B33828AC321A}"/>
    <cellStyle name="Normal 5 3 6" xfId="43" xr:uid="{FBD30F31-FD84-4F63-9C9D-6968A70E8099}"/>
    <cellStyle name="Normal 5 3 7" xfId="30" xr:uid="{1D16BC9C-8FE3-4339-BEEC-A9DA661200C1}"/>
    <cellStyle name="Normal 5 4" xfId="27" xr:uid="{7E583AEE-37CA-4D65-A17F-429079F6DA0A}"/>
    <cellStyle name="Normal 5 4 2" xfId="56" xr:uid="{34C79B9A-77C9-4A46-A7EA-B329C28477C6}"/>
    <cellStyle name="Normal 5 4 3" xfId="40" xr:uid="{EE27C73B-7485-4638-B9A8-8017818A8509}"/>
    <cellStyle name="Normal 5 5" xfId="62" xr:uid="{B404B604-BB92-4AF8-9828-8ACB11E22347}"/>
    <cellStyle name="Normal 5 5 2" xfId="82" xr:uid="{1D841D5E-5734-4B2B-A924-35323960C4B8}"/>
    <cellStyle name="Normal 5 6" xfId="68" xr:uid="{C7997603-71E9-45E4-967A-A2A9017CBB55}"/>
    <cellStyle name="Normal 5 7" xfId="50" xr:uid="{B42DFD99-5E64-4E76-A63E-EA820DBE38FD}"/>
    <cellStyle name="Normal 5 8" xfId="37" xr:uid="{E10DDE47-49A6-4928-AF05-4981638022C1}"/>
    <cellStyle name="Normal 5 9" xfId="23" xr:uid="{B274778C-EBDB-4DEA-8DF0-F8CE9FBDD8BA}"/>
    <cellStyle name="Normal_CHAUFFAGE" xfId="2" xr:uid="{00000000-0005-0000-0000-00000D000000}"/>
    <cellStyle name="Normal_Quantitatif" xfId="3" xr:uid="{00000000-0005-0000-0000-00000E000000}"/>
    <cellStyle name="Titre 2" xfId="13" xr:uid="{00000000-0005-0000-0000-00000F000000}"/>
    <cellStyle name="Total chapitre" xfId="14" xr:uid="{00000000-0005-0000-0000-000010000000}"/>
  </cellStyles>
  <dxfs count="23">
    <dxf>
      <fill>
        <patternFill patternType="lightUp">
          <fgColor rgb="FFFF0000"/>
        </patternFill>
      </fill>
    </dxf>
    <dxf>
      <fill>
        <patternFill>
          <bgColor theme="9" tint="-0.24994659260841701"/>
        </patternFill>
      </fill>
    </dxf>
    <dxf>
      <fill>
        <patternFill>
          <bgColor theme="9" tint="-0.24994659260841701"/>
        </patternFill>
      </fill>
    </dxf>
    <dxf>
      <fill>
        <patternFill patternType="lightUp">
          <fgColor rgb="FFFF0000"/>
        </patternFill>
      </fill>
    </dxf>
    <dxf>
      <fill>
        <patternFill>
          <bgColor theme="9" tint="-0.24994659260841701"/>
        </patternFill>
      </fill>
    </dxf>
    <dxf>
      <fill>
        <patternFill>
          <bgColor theme="9" tint="-0.24994659260841701"/>
        </patternFill>
      </fill>
    </dxf>
    <dxf>
      <fill>
        <patternFill patternType="lightUp">
          <fgColor rgb="FFFF0000"/>
        </patternFill>
      </fill>
    </dxf>
    <dxf>
      <fill>
        <patternFill>
          <bgColor theme="9" tint="-0.24994659260841701"/>
        </patternFill>
      </fill>
    </dxf>
    <dxf>
      <fill>
        <patternFill>
          <bgColor theme="9" tint="-0.24994659260841701"/>
        </patternFill>
      </fill>
    </dxf>
    <dxf>
      <fill>
        <patternFill patternType="lightUp">
          <fgColor rgb="FFFF0000"/>
          <bgColor auto="1"/>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darkUp">
          <fgColor rgb="FFFF0000"/>
        </patternFill>
      </fill>
    </dxf>
    <dxf>
      <fill>
        <patternFill patternType="darkUp">
          <fgColor rgb="FFFF0000"/>
        </patternFill>
      </fill>
    </dxf>
    <dxf>
      <fill>
        <patternFill patternType="darkUp">
          <fgColor rgb="FFFF0000"/>
        </patternFill>
      </fill>
    </dxf>
    <dxf>
      <fill>
        <patternFill patternType="darkUp">
          <fgColor rgb="FFFF0000"/>
        </patternFill>
      </fill>
    </dxf>
    <dxf>
      <fill>
        <patternFill patternType="darkUp">
          <fgColor rgb="FFFF0000"/>
        </patternFill>
      </fill>
    </dxf>
    <dxf>
      <fill>
        <patternFill patternType="darkUp">
          <fgColor rgb="FFFF0000"/>
        </patternFill>
      </fill>
    </dxf>
  </dxfs>
  <tableStyles count="0" defaultTableStyle="TableStyleMedium9"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novapolis.immo@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61F5-9503-47C0-9271-0A08B2D66E7B}">
  <dimension ref="A2:B29"/>
  <sheetViews>
    <sheetView zoomScale="130" zoomScaleNormal="130" workbookViewId="0">
      <selection activeCell="I27" sqref="I27"/>
    </sheetView>
  </sheetViews>
  <sheetFormatPr baseColWidth="10" defaultRowHeight="12.75" x14ac:dyDescent="0.2"/>
  <cols>
    <col min="1" max="1" width="14" customWidth="1"/>
    <col min="2" max="2" width="48.42578125" customWidth="1"/>
  </cols>
  <sheetData>
    <row r="2" spans="1:2" x14ac:dyDescent="0.2">
      <c r="B2" s="51" t="s">
        <v>26</v>
      </c>
    </row>
    <row r="4" spans="1:2" x14ac:dyDescent="0.2">
      <c r="A4" s="52" t="s">
        <v>39</v>
      </c>
      <c r="B4" s="54" t="s">
        <v>127</v>
      </c>
    </row>
    <row r="5" spans="1:2" x14ac:dyDescent="0.2">
      <c r="A5" s="52" t="s">
        <v>38</v>
      </c>
      <c r="B5" s="53" t="s">
        <v>126</v>
      </c>
    </row>
    <row r="6" spans="1:2" ht="15" x14ac:dyDescent="0.2">
      <c r="B6" s="50"/>
    </row>
    <row r="7" spans="1:2" x14ac:dyDescent="0.2">
      <c r="B7" s="2" t="s">
        <v>18</v>
      </c>
    </row>
    <row r="8" spans="1:2" x14ac:dyDescent="0.2">
      <c r="B8" s="3" t="s">
        <v>117</v>
      </c>
    </row>
    <row r="9" spans="1:2" x14ac:dyDescent="0.2">
      <c r="B9" s="4" t="s">
        <v>118</v>
      </c>
    </row>
    <row r="10" spans="1:2" x14ac:dyDescent="0.2">
      <c r="B10" s="4" t="s">
        <v>119</v>
      </c>
    </row>
    <row r="11" spans="1:2" x14ac:dyDescent="0.2">
      <c r="B11" s="66" t="s">
        <v>120</v>
      </c>
    </row>
    <row r="13" spans="1:2" x14ac:dyDescent="0.2">
      <c r="B13" s="6" t="s">
        <v>19</v>
      </c>
    </row>
    <row r="14" spans="1:2" x14ac:dyDescent="0.2">
      <c r="B14" s="3" t="s">
        <v>35</v>
      </c>
    </row>
    <row r="15" spans="1:2" x14ac:dyDescent="0.2">
      <c r="B15" s="4" t="s">
        <v>36</v>
      </c>
    </row>
    <row r="16" spans="1:2" x14ac:dyDescent="0.2">
      <c r="B16" s="4" t="s">
        <v>71</v>
      </c>
    </row>
    <row r="17" spans="2:2" x14ac:dyDescent="0.2">
      <c r="B17" s="5" t="s">
        <v>37</v>
      </c>
    </row>
    <row r="19" spans="2:2" x14ac:dyDescent="0.2">
      <c r="B19" s="6" t="s">
        <v>34</v>
      </c>
    </row>
    <row r="20" spans="2:2" x14ac:dyDescent="0.2">
      <c r="B20" s="3"/>
    </row>
    <row r="21" spans="2:2" x14ac:dyDescent="0.2">
      <c r="B21" s="4"/>
    </row>
    <row r="22" spans="2:2" x14ac:dyDescent="0.2">
      <c r="B22" s="4"/>
    </row>
    <row r="23" spans="2:2" x14ac:dyDescent="0.2">
      <c r="B23" s="5"/>
    </row>
    <row r="24" spans="2:2" x14ac:dyDescent="0.2">
      <c r="B24" s="7"/>
    </row>
    <row r="25" spans="2:2" x14ac:dyDescent="0.2">
      <c r="B25" s="6" t="s">
        <v>20</v>
      </c>
    </row>
    <row r="26" spans="2:2" x14ac:dyDescent="0.2">
      <c r="B26" s="60" t="s">
        <v>121</v>
      </c>
    </row>
    <row r="28" spans="2:2" x14ac:dyDescent="0.2">
      <c r="B28" s="6" t="s">
        <v>22</v>
      </c>
    </row>
    <row r="29" spans="2:2" x14ac:dyDescent="0.2">
      <c r="B29" s="55" t="s">
        <v>40</v>
      </c>
    </row>
  </sheetData>
  <conditionalFormatting sqref="B4:B5">
    <cfRule type="containsBlanks" dxfId="22" priority="3">
      <formula>LEN(TRIM(B4))=0</formula>
    </cfRule>
  </conditionalFormatting>
  <conditionalFormatting sqref="B8:B11">
    <cfRule type="containsBlanks" dxfId="21" priority="2">
      <formula>LEN(TRIM(B8))=0</formula>
    </cfRule>
  </conditionalFormatting>
  <conditionalFormatting sqref="B14:B17">
    <cfRule type="containsBlanks" dxfId="20" priority="7">
      <formula>LEN(TRIM(B14))=0</formula>
    </cfRule>
  </conditionalFormatting>
  <conditionalFormatting sqref="B20:B23">
    <cfRule type="containsBlanks" dxfId="19" priority="8">
      <formula>LEN(TRIM(B20))=0</formula>
    </cfRule>
  </conditionalFormatting>
  <conditionalFormatting sqref="B26">
    <cfRule type="containsBlanks" dxfId="18" priority="1">
      <formula>LEN(TRIM(B26))=0</formula>
    </cfRule>
  </conditionalFormatting>
  <conditionalFormatting sqref="B29">
    <cfRule type="containsBlanks" dxfId="17" priority="10">
      <formula>LEN(TRIM(B29))=0</formula>
    </cfRule>
  </conditionalFormatting>
  <hyperlinks>
    <hyperlink ref="B11" r:id="rId1" xr:uid="{C1DB304E-470D-4D61-B2ED-F63D473E80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D9EB9-EFE7-400B-BB11-9A203EE6A445}">
  <sheetPr>
    <outlinePr summaryBelow="0" summaryRight="0"/>
    <pageSetUpPr fitToPage="1"/>
  </sheetPr>
  <dimension ref="A1:H175"/>
  <sheetViews>
    <sheetView showZeros="0" tabSelected="1" zoomScaleNormal="100" zoomScaleSheetLayoutView="115" workbookViewId="0">
      <selection activeCell="C13" sqref="C13"/>
    </sheetView>
  </sheetViews>
  <sheetFormatPr baseColWidth="10" defaultRowHeight="12" outlineLevelRow="3" x14ac:dyDescent="0.2"/>
  <cols>
    <col min="1" max="1" width="2.42578125" style="25" customWidth="1"/>
    <col min="2" max="2" width="4" style="26" customWidth="1"/>
    <col min="3" max="3" width="48.140625" style="27" customWidth="1"/>
    <col min="4" max="4" width="5.85546875" style="25" customWidth="1"/>
    <col min="5" max="5" width="8.140625" style="25" customWidth="1"/>
    <col min="6" max="6" width="8" style="25" customWidth="1"/>
    <col min="7" max="7" width="13.140625" style="44" customWidth="1"/>
    <col min="8" max="8" width="11.42578125" style="44" customWidth="1"/>
    <col min="9" max="9" width="11.42578125" style="29" customWidth="1"/>
    <col min="10" max="16384" width="11.42578125" style="29"/>
  </cols>
  <sheetData>
    <row r="1" spans="1:8" s="15" customFormat="1" x14ac:dyDescent="0.2">
      <c r="A1" s="110" t="s">
        <v>21</v>
      </c>
      <c r="B1" s="111"/>
      <c r="C1" s="111"/>
      <c r="D1" s="111"/>
      <c r="E1" s="111"/>
      <c r="F1" s="111"/>
      <c r="G1" s="111"/>
      <c r="H1" s="112"/>
    </row>
    <row r="2" spans="1:8" s="15" customFormat="1" x14ac:dyDescent="0.2">
      <c r="A2" s="119" t="str">
        <f>'RENS GENERAL'!B26</f>
        <v xml:space="preserve">CONSTRUCTION DE  18 LOGEMENTS </v>
      </c>
      <c r="B2" s="120"/>
      <c r="C2" s="120"/>
      <c r="D2" s="120"/>
      <c r="E2" s="117" t="str">
        <f>'RENS GENERAL'!B29</f>
        <v>LOT : ELECTRICITE CFO CFA</v>
      </c>
      <c r="F2" s="117"/>
      <c r="G2" s="117"/>
      <c r="H2" s="118"/>
    </row>
    <row r="3" spans="1:8" s="16" customFormat="1" ht="12.75" thickBot="1" x14ac:dyDescent="0.25">
      <c r="A3" s="113" t="s">
        <v>2</v>
      </c>
      <c r="B3" s="114"/>
      <c r="C3" s="34" t="s">
        <v>0</v>
      </c>
      <c r="D3" s="35" t="s">
        <v>10</v>
      </c>
      <c r="E3" s="35" t="s">
        <v>11</v>
      </c>
      <c r="F3" s="35" t="s">
        <v>12</v>
      </c>
      <c r="G3" s="39" t="s">
        <v>13</v>
      </c>
      <c r="H3" s="57" t="s">
        <v>1</v>
      </c>
    </row>
    <row r="4" spans="1:8" s="11" customFormat="1" x14ac:dyDescent="0.2">
      <c r="A4" s="115">
        <v>1</v>
      </c>
      <c r="B4" s="116"/>
      <c r="C4" s="71" t="s">
        <v>41</v>
      </c>
      <c r="D4" s="72"/>
      <c r="E4" s="72"/>
      <c r="F4" s="72"/>
      <c r="G4" s="73"/>
      <c r="H4" s="74"/>
    </row>
    <row r="5" spans="1:8" s="14" customFormat="1" outlineLevel="1" x14ac:dyDescent="0.2">
      <c r="A5" s="106">
        <f>A4+0.1</f>
        <v>1.1000000000000001</v>
      </c>
      <c r="B5" s="107"/>
      <c r="C5" s="36" t="s">
        <v>42</v>
      </c>
      <c r="D5" s="8"/>
      <c r="E5" s="12"/>
      <c r="F5" s="13"/>
      <c r="G5" s="75"/>
      <c r="H5" s="76"/>
    </row>
    <row r="6" spans="1:8" s="14" customFormat="1" ht="45" outlineLevel="2" x14ac:dyDescent="0.2">
      <c r="A6" s="94">
        <f>A5+0.01</f>
        <v>1.1100000000000001</v>
      </c>
      <c r="B6" s="95"/>
      <c r="C6" s="84" t="s">
        <v>116</v>
      </c>
      <c r="D6" s="9" t="s">
        <v>17</v>
      </c>
      <c r="E6" s="10">
        <v>1</v>
      </c>
      <c r="F6" s="10"/>
      <c r="G6" s="77"/>
      <c r="H6" s="47"/>
    </row>
    <row r="7" spans="1:8" s="14" customFormat="1" outlineLevel="2" x14ac:dyDescent="0.2">
      <c r="A7" s="94">
        <f>A6+0.01</f>
        <v>1.1200000000000001</v>
      </c>
      <c r="B7" s="95"/>
      <c r="C7" s="37" t="s">
        <v>43</v>
      </c>
      <c r="D7" s="9" t="s">
        <v>17</v>
      </c>
      <c r="E7" s="10">
        <v>1</v>
      </c>
      <c r="F7" s="10"/>
      <c r="G7" s="77"/>
      <c r="H7" s="47"/>
    </row>
    <row r="8" spans="1:8" s="14" customFormat="1" hidden="1" outlineLevel="2" x14ac:dyDescent="0.2">
      <c r="A8" s="94"/>
      <c r="B8" s="95"/>
      <c r="C8" s="37"/>
      <c r="D8" s="9"/>
      <c r="E8" s="10"/>
      <c r="F8" s="10"/>
      <c r="G8" s="40"/>
      <c r="H8" s="47">
        <f t="shared" ref="H8" si="0">G8*F8</f>
        <v>0</v>
      </c>
    </row>
    <row r="9" spans="1:8" s="38" customFormat="1" ht="12.75" x14ac:dyDescent="0.2">
      <c r="A9" s="139" t="s">
        <v>28</v>
      </c>
      <c r="B9" s="140"/>
      <c r="C9" s="102"/>
      <c r="D9" s="102"/>
      <c r="E9" s="102"/>
      <c r="F9" s="102"/>
      <c r="G9" s="103"/>
      <c r="H9" s="46"/>
    </row>
    <row r="10" spans="1:8" s="11" customFormat="1" outlineLevel="1" x14ac:dyDescent="0.2">
      <c r="A10" s="104">
        <v>2</v>
      </c>
      <c r="B10" s="105"/>
      <c r="C10" s="48" t="s">
        <v>44</v>
      </c>
      <c r="D10" s="68"/>
      <c r="E10" s="68"/>
      <c r="F10" s="68"/>
      <c r="G10" s="69"/>
      <c r="H10" s="70"/>
    </row>
    <row r="11" spans="1:8" s="14" customFormat="1" outlineLevel="1" x14ac:dyDescent="0.2">
      <c r="A11" s="106">
        <f>A10+0.1</f>
        <v>2.1</v>
      </c>
      <c r="B11" s="107"/>
      <c r="C11" s="49" t="s">
        <v>45</v>
      </c>
      <c r="D11" s="8"/>
      <c r="E11" s="12"/>
      <c r="F11" s="13"/>
      <c r="G11" s="75"/>
      <c r="H11" s="76"/>
    </row>
    <row r="12" spans="1:8" s="14" customFormat="1" ht="22.5" outlineLevel="2" x14ac:dyDescent="0.2">
      <c r="A12" s="94">
        <f>A11+0.01</f>
        <v>2.11</v>
      </c>
      <c r="B12" s="95"/>
      <c r="C12" s="84" t="s">
        <v>46</v>
      </c>
      <c r="D12" s="9" t="s">
        <v>17</v>
      </c>
      <c r="E12" s="10">
        <v>1</v>
      </c>
      <c r="F12" s="78"/>
      <c r="G12" s="77"/>
      <c r="H12" s="47"/>
    </row>
    <row r="13" spans="1:8" s="14" customFormat="1" ht="45" outlineLevel="2" x14ac:dyDescent="0.2">
      <c r="A13" s="94">
        <f>A12+0.01</f>
        <v>2.1199999999999997</v>
      </c>
      <c r="B13" s="95"/>
      <c r="C13" s="37" t="s">
        <v>77</v>
      </c>
      <c r="D13" s="9" t="s">
        <v>17</v>
      </c>
      <c r="E13" s="10">
        <v>1</v>
      </c>
      <c r="F13" s="78"/>
      <c r="G13" s="77"/>
      <c r="H13" s="47"/>
    </row>
    <row r="14" spans="1:8" s="14" customFormat="1" outlineLevel="1" x14ac:dyDescent="0.2">
      <c r="A14" s="106">
        <f>A11+0.1</f>
        <v>2.2000000000000002</v>
      </c>
      <c r="B14" s="107"/>
      <c r="C14" s="49" t="s">
        <v>47</v>
      </c>
      <c r="D14" s="8"/>
      <c r="E14" s="12"/>
      <c r="F14" s="13"/>
      <c r="G14" s="75"/>
      <c r="H14" s="76"/>
    </row>
    <row r="15" spans="1:8" s="14" customFormat="1" outlineLevel="2" x14ac:dyDescent="0.2">
      <c r="A15" s="94">
        <f>A14+0.01</f>
        <v>2.21</v>
      </c>
      <c r="B15" s="95"/>
      <c r="C15" s="65" t="s">
        <v>48</v>
      </c>
      <c r="D15" s="10"/>
      <c r="E15" s="10"/>
      <c r="F15" s="78"/>
      <c r="G15" s="77"/>
      <c r="H15" s="47"/>
    </row>
    <row r="16" spans="1:8" s="14" customFormat="1" ht="33.75" outlineLevel="3" x14ac:dyDescent="0.2">
      <c r="A16" s="108"/>
      <c r="B16" s="109"/>
      <c r="C16" s="61" t="s">
        <v>49</v>
      </c>
      <c r="D16" s="9" t="s">
        <v>16</v>
      </c>
      <c r="E16" s="10">
        <v>18</v>
      </c>
      <c r="F16" s="78"/>
      <c r="G16" s="77"/>
      <c r="H16" s="47"/>
    </row>
    <row r="17" spans="1:8" s="14" customFormat="1" outlineLevel="2" x14ac:dyDescent="0.2">
      <c r="A17" s="94">
        <f>A15+0.01</f>
        <v>2.2199999999999998</v>
      </c>
      <c r="B17" s="95"/>
      <c r="C17" s="65" t="s">
        <v>50</v>
      </c>
      <c r="D17" s="10"/>
      <c r="E17" s="10"/>
      <c r="F17" s="78"/>
      <c r="G17" s="77"/>
      <c r="H17" s="47"/>
    </row>
    <row r="18" spans="1:8" s="14" customFormat="1" outlineLevel="3" x14ac:dyDescent="0.2">
      <c r="A18" s="108"/>
      <c r="B18" s="109"/>
      <c r="C18" s="61" t="s">
        <v>51</v>
      </c>
      <c r="D18" s="9" t="s">
        <v>16</v>
      </c>
      <c r="E18" s="10">
        <v>18</v>
      </c>
      <c r="F18" s="78"/>
      <c r="G18" s="77"/>
      <c r="H18" s="47"/>
    </row>
    <row r="19" spans="1:8" s="14" customFormat="1" outlineLevel="1" x14ac:dyDescent="0.2">
      <c r="A19" s="106">
        <f>A14+0.1</f>
        <v>2.3000000000000003</v>
      </c>
      <c r="B19" s="107"/>
      <c r="C19" s="49" t="s">
        <v>52</v>
      </c>
      <c r="D19" s="8"/>
      <c r="E19" s="12"/>
      <c r="F19" s="13"/>
      <c r="G19" s="75"/>
      <c r="H19" s="76"/>
    </row>
    <row r="20" spans="1:8" s="14" customFormat="1" ht="26.25" customHeight="1" outlineLevel="2" x14ac:dyDescent="0.2">
      <c r="A20" s="94">
        <f>A19+0.01</f>
        <v>2.31</v>
      </c>
      <c r="B20" s="95"/>
      <c r="C20" s="37" t="s">
        <v>53</v>
      </c>
      <c r="D20" s="9" t="s">
        <v>17</v>
      </c>
      <c r="E20" s="10">
        <v>1</v>
      </c>
      <c r="F20" s="78"/>
      <c r="G20" s="77"/>
      <c r="H20" s="47"/>
    </row>
    <row r="21" spans="1:8" s="14" customFormat="1" ht="56.25" outlineLevel="2" x14ac:dyDescent="0.2">
      <c r="A21" s="94">
        <f>A20+0.01</f>
        <v>2.3199999999999998</v>
      </c>
      <c r="B21" s="95"/>
      <c r="C21" s="37" t="s">
        <v>78</v>
      </c>
      <c r="D21" s="9" t="s">
        <v>17</v>
      </c>
      <c r="E21" s="10">
        <v>1</v>
      </c>
      <c r="F21" s="78"/>
      <c r="G21" s="77"/>
      <c r="H21" s="47"/>
    </row>
    <row r="22" spans="1:8" s="14" customFormat="1" outlineLevel="1" x14ac:dyDescent="0.2">
      <c r="A22" s="106">
        <f>A19+0.1</f>
        <v>2.4000000000000004</v>
      </c>
      <c r="B22" s="107"/>
      <c r="C22" s="49" t="s">
        <v>54</v>
      </c>
      <c r="D22" s="8"/>
      <c r="E22" s="12"/>
      <c r="F22" s="13"/>
      <c r="G22" s="75"/>
      <c r="H22" s="76"/>
    </row>
    <row r="23" spans="1:8" s="14" customFormat="1" outlineLevel="2" x14ac:dyDescent="0.2">
      <c r="A23" s="94">
        <f>A22+0.01</f>
        <v>2.41</v>
      </c>
      <c r="B23" s="95"/>
      <c r="C23" s="65" t="s">
        <v>79</v>
      </c>
      <c r="D23" s="10"/>
      <c r="E23" s="10"/>
      <c r="F23" s="78"/>
      <c r="G23" s="77"/>
      <c r="H23" s="47"/>
    </row>
    <row r="24" spans="1:8" s="14" customFormat="1" ht="78.75" outlineLevel="3" x14ac:dyDescent="0.2">
      <c r="A24" s="108"/>
      <c r="B24" s="109"/>
      <c r="C24" s="37" t="s">
        <v>128</v>
      </c>
      <c r="D24" s="9" t="s">
        <v>16</v>
      </c>
      <c r="E24" s="10">
        <v>18</v>
      </c>
      <c r="F24" s="78"/>
      <c r="G24" s="77"/>
      <c r="H24" s="47"/>
    </row>
    <row r="25" spans="1:8" s="14" customFormat="1" outlineLevel="2" x14ac:dyDescent="0.2">
      <c r="A25" s="94">
        <f>A23+0.01</f>
        <v>2.42</v>
      </c>
      <c r="B25" s="95"/>
      <c r="C25" s="65" t="s">
        <v>55</v>
      </c>
      <c r="D25" s="10"/>
      <c r="E25" s="10"/>
      <c r="F25" s="78"/>
      <c r="G25" s="77"/>
      <c r="H25" s="47"/>
    </row>
    <row r="26" spans="1:8" s="14" customFormat="1" ht="33.75" outlineLevel="3" x14ac:dyDescent="0.2">
      <c r="A26" s="94"/>
      <c r="B26" s="95"/>
      <c r="C26" s="62" t="s">
        <v>69</v>
      </c>
      <c r="D26" s="10"/>
      <c r="E26" s="10"/>
      <c r="F26" s="78"/>
      <c r="G26" s="77"/>
      <c r="H26" s="47"/>
    </row>
    <row r="27" spans="1:8" s="14" customFormat="1" outlineLevel="3" x14ac:dyDescent="0.2">
      <c r="A27" s="94">
        <f>A25+0.001</f>
        <v>2.4209999999999998</v>
      </c>
      <c r="B27" s="95"/>
      <c r="C27" s="85" t="s">
        <v>56</v>
      </c>
      <c r="D27" s="10"/>
      <c r="E27" s="10"/>
      <c r="F27" s="78"/>
      <c r="G27" s="77"/>
      <c r="H27" s="47"/>
    </row>
    <row r="28" spans="1:8" s="14" customFormat="1" outlineLevel="3" x14ac:dyDescent="0.2">
      <c r="A28" s="94"/>
      <c r="B28" s="95"/>
      <c r="C28" s="84" t="s">
        <v>65</v>
      </c>
      <c r="D28" s="10"/>
      <c r="E28" s="10"/>
      <c r="F28" s="78"/>
      <c r="G28" s="77"/>
      <c r="H28" s="47"/>
    </row>
    <row r="29" spans="1:8" s="14" customFormat="1" outlineLevel="3" x14ac:dyDescent="0.2">
      <c r="A29" s="94"/>
      <c r="B29" s="95"/>
      <c r="C29" s="85" t="s">
        <v>59</v>
      </c>
      <c r="D29" s="10"/>
      <c r="E29" s="10"/>
      <c r="F29" s="78"/>
      <c r="G29" s="77"/>
      <c r="H29" s="47"/>
    </row>
    <row r="30" spans="1:8" s="14" customFormat="1" outlineLevel="3" x14ac:dyDescent="0.2">
      <c r="A30" s="94"/>
      <c r="B30" s="95"/>
      <c r="C30" s="84" t="s">
        <v>80</v>
      </c>
      <c r="D30" s="9" t="s">
        <v>16</v>
      </c>
      <c r="E30" s="10">
        <f>1*18</f>
        <v>18</v>
      </c>
      <c r="F30" s="78"/>
      <c r="G30" s="77"/>
      <c r="H30" s="47"/>
    </row>
    <row r="31" spans="1:8" s="14" customFormat="1" outlineLevel="3" x14ac:dyDescent="0.2">
      <c r="A31" s="94"/>
      <c r="B31" s="95"/>
      <c r="C31" s="85" t="s">
        <v>82</v>
      </c>
      <c r="D31" s="10"/>
      <c r="E31" s="10"/>
      <c r="F31" s="78"/>
      <c r="G31" s="77"/>
      <c r="H31" s="47"/>
    </row>
    <row r="32" spans="1:8" s="14" customFormat="1" outlineLevel="3" x14ac:dyDescent="0.2">
      <c r="A32" s="94"/>
      <c r="B32" s="95"/>
      <c r="C32" s="84" t="s">
        <v>81</v>
      </c>
      <c r="D32" s="9" t="s">
        <v>16</v>
      </c>
      <c r="E32" s="10">
        <v>18</v>
      </c>
      <c r="F32" s="78"/>
      <c r="G32" s="77"/>
      <c r="H32" s="47"/>
    </row>
    <row r="33" spans="1:8" s="14" customFormat="1" outlineLevel="3" x14ac:dyDescent="0.2">
      <c r="A33" s="94"/>
      <c r="B33" s="95"/>
      <c r="C33" s="84" t="s">
        <v>109</v>
      </c>
      <c r="D33" s="9" t="s">
        <v>16</v>
      </c>
      <c r="E33" s="10">
        <v>18</v>
      </c>
      <c r="F33" s="78"/>
      <c r="G33" s="77"/>
      <c r="H33" s="47"/>
    </row>
    <row r="34" spans="1:8" s="14" customFormat="1" outlineLevel="3" x14ac:dyDescent="0.2">
      <c r="A34" s="94"/>
      <c r="B34" s="95"/>
      <c r="C34" s="84" t="s">
        <v>72</v>
      </c>
      <c r="D34" s="9" t="s">
        <v>16</v>
      </c>
      <c r="E34" s="10">
        <v>18</v>
      </c>
      <c r="F34" s="78"/>
      <c r="G34" s="77"/>
      <c r="H34" s="47"/>
    </row>
    <row r="35" spans="1:8" s="14" customFormat="1" outlineLevel="2" x14ac:dyDescent="0.2">
      <c r="A35" s="94"/>
      <c r="B35" s="95"/>
      <c r="C35" s="85" t="s">
        <v>92</v>
      </c>
      <c r="D35" s="10"/>
      <c r="E35" s="10"/>
      <c r="F35" s="78"/>
      <c r="G35" s="77"/>
      <c r="H35" s="47"/>
    </row>
    <row r="36" spans="1:8" s="14" customFormat="1" outlineLevel="3" x14ac:dyDescent="0.2">
      <c r="A36" s="94"/>
      <c r="B36" s="95"/>
      <c r="C36" s="84" t="s">
        <v>72</v>
      </c>
      <c r="D36" s="9" t="s">
        <v>16</v>
      </c>
      <c r="E36" s="10">
        <v>16</v>
      </c>
      <c r="F36" s="78"/>
      <c r="G36" s="77"/>
      <c r="H36" s="47"/>
    </row>
    <row r="37" spans="1:8" s="14" customFormat="1" outlineLevel="3" x14ac:dyDescent="0.2">
      <c r="A37" s="94"/>
      <c r="B37" s="95"/>
      <c r="C37" s="85" t="s">
        <v>93</v>
      </c>
      <c r="D37" s="10"/>
      <c r="E37" s="10"/>
      <c r="F37" s="78"/>
      <c r="G37" s="77"/>
      <c r="H37" s="47"/>
    </row>
    <row r="38" spans="1:8" s="14" customFormat="1" outlineLevel="3" x14ac:dyDescent="0.2">
      <c r="A38" s="94"/>
      <c r="B38" s="95"/>
      <c r="C38" s="84" t="s">
        <v>72</v>
      </c>
      <c r="D38" s="9" t="s">
        <v>16</v>
      </c>
      <c r="E38" s="10">
        <v>16</v>
      </c>
      <c r="F38" s="78"/>
      <c r="G38" s="77"/>
      <c r="H38" s="47"/>
    </row>
    <row r="39" spans="1:8" s="14" customFormat="1" hidden="1" outlineLevel="3" x14ac:dyDescent="0.2">
      <c r="A39" s="94"/>
      <c r="B39" s="95"/>
      <c r="C39" s="84"/>
      <c r="D39" s="9"/>
      <c r="E39" s="10"/>
      <c r="F39" s="78"/>
      <c r="G39" s="77"/>
      <c r="H39" s="47"/>
    </row>
    <row r="40" spans="1:8" s="14" customFormat="1" outlineLevel="2" x14ac:dyDescent="0.2">
      <c r="A40" s="94"/>
      <c r="B40" s="95"/>
      <c r="C40" s="85" t="s">
        <v>129</v>
      </c>
      <c r="D40" s="10"/>
      <c r="E40" s="10"/>
      <c r="F40" s="78"/>
      <c r="G40" s="77"/>
      <c r="H40" s="47"/>
    </row>
    <row r="41" spans="1:8" s="14" customFormat="1" outlineLevel="3" x14ac:dyDescent="0.2">
      <c r="A41" s="94"/>
      <c r="B41" s="95"/>
      <c r="C41" s="84" t="s">
        <v>72</v>
      </c>
      <c r="D41" s="9" t="s">
        <v>16</v>
      </c>
      <c r="E41" s="10">
        <v>6</v>
      </c>
      <c r="F41" s="78"/>
      <c r="G41" s="77"/>
      <c r="H41" s="47"/>
    </row>
    <row r="42" spans="1:8" s="14" customFormat="1" outlineLevel="2" x14ac:dyDescent="0.2">
      <c r="A42" s="94"/>
      <c r="B42" s="95"/>
      <c r="C42" s="85" t="s">
        <v>84</v>
      </c>
      <c r="D42" s="10"/>
      <c r="E42" s="10"/>
      <c r="F42" s="78"/>
      <c r="G42" s="77"/>
      <c r="H42" s="47"/>
    </row>
    <row r="43" spans="1:8" s="14" customFormat="1" outlineLevel="3" x14ac:dyDescent="0.2">
      <c r="A43" s="94"/>
      <c r="B43" s="95"/>
      <c r="C43" s="84" t="s">
        <v>72</v>
      </c>
      <c r="D43" s="9" t="s">
        <v>16</v>
      </c>
      <c r="E43" s="10">
        <v>168</v>
      </c>
      <c r="F43" s="78"/>
      <c r="G43" s="77"/>
      <c r="H43" s="47"/>
    </row>
    <row r="44" spans="1:8" s="14" customFormat="1" ht="22.5" outlineLevel="3" x14ac:dyDescent="0.2">
      <c r="A44" s="94"/>
      <c r="B44" s="95"/>
      <c r="C44" s="84" t="s">
        <v>130</v>
      </c>
      <c r="D44" s="9" t="s">
        <v>16</v>
      </c>
      <c r="E44" s="10">
        <f>4*18</f>
        <v>72</v>
      </c>
      <c r="F44" s="78"/>
      <c r="G44" s="77"/>
      <c r="H44" s="47"/>
    </row>
    <row r="45" spans="1:8" s="14" customFormat="1" outlineLevel="3" x14ac:dyDescent="0.2">
      <c r="A45" s="94"/>
      <c r="B45" s="95"/>
      <c r="C45" s="84" t="s">
        <v>86</v>
      </c>
      <c r="D45" s="9" t="s">
        <v>16</v>
      </c>
      <c r="E45" s="10">
        <v>18</v>
      </c>
      <c r="F45" s="78"/>
      <c r="G45" s="77"/>
      <c r="H45" s="47"/>
    </row>
    <row r="46" spans="1:8" s="14" customFormat="1" outlineLevel="3" x14ac:dyDescent="0.2">
      <c r="A46" s="94"/>
      <c r="B46" s="95"/>
      <c r="C46" s="84" t="s">
        <v>85</v>
      </c>
      <c r="D46" s="9" t="s">
        <v>16</v>
      </c>
      <c r="E46" s="10">
        <v>18</v>
      </c>
      <c r="F46" s="78"/>
      <c r="G46" s="77"/>
      <c r="H46" s="47"/>
    </row>
    <row r="47" spans="1:8" s="14" customFormat="1" outlineLevel="3" x14ac:dyDescent="0.2">
      <c r="A47" s="94"/>
      <c r="B47" s="95"/>
      <c r="C47" s="84" t="s">
        <v>83</v>
      </c>
      <c r="D47" s="9" t="s">
        <v>16</v>
      </c>
      <c r="E47" s="10">
        <v>18</v>
      </c>
      <c r="F47" s="78"/>
      <c r="G47" s="77"/>
      <c r="H47" s="47"/>
    </row>
    <row r="48" spans="1:8" s="14" customFormat="1" outlineLevel="2" x14ac:dyDescent="0.2">
      <c r="A48" s="94"/>
      <c r="B48" s="95"/>
      <c r="C48" s="85" t="s">
        <v>110</v>
      </c>
      <c r="D48" s="10"/>
      <c r="E48" s="10"/>
      <c r="F48" s="78"/>
      <c r="G48" s="77"/>
      <c r="H48" s="47"/>
    </row>
    <row r="49" spans="1:8" s="14" customFormat="1" outlineLevel="3" x14ac:dyDescent="0.2">
      <c r="A49" s="94"/>
      <c r="B49" s="95"/>
      <c r="C49" s="84" t="s">
        <v>72</v>
      </c>
      <c r="D49" s="9" t="s">
        <v>16</v>
      </c>
      <c r="E49" s="10">
        <v>32</v>
      </c>
      <c r="F49" s="78"/>
      <c r="G49" s="77"/>
      <c r="H49" s="47"/>
    </row>
    <row r="50" spans="1:8" s="14" customFormat="1" outlineLevel="2" x14ac:dyDescent="0.2">
      <c r="A50" s="94"/>
      <c r="B50" s="95"/>
      <c r="C50" s="85" t="s">
        <v>112</v>
      </c>
      <c r="D50" s="10"/>
      <c r="E50" s="10"/>
      <c r="F50" s="78"/>
      <c r="G50" s="77"/>
      <c r="H50" s="47"/>
    </row>
    <row r="51" spans="1:8" s="14" customFormat="1" outlineLevel="3" x14ac:dyDescent="0.2">
      <c r="A51" s="94"/>
      <c r="B51" s="95"/>
      <c r="C51" s="84" t="s">
        <v>72</v>
      </c>
      <c r="D51" s="9" t="s">
        <v>16</v>
      </c>
      <c r="E51" s="10">
        <v>18</v>
      </c>
      <c r="F51" s="78"/>
      <c r="G51" s="77"/>
      <c r="H51" s="47"/>
    </row>
    <row r="52" spans="1:8" s="14" customFormat="1" outlineLevel="2" x14ac:dyDescent="0.2">
      <c r="A52" s="94"/>
      <c r="B52" s="95"/>
      <c r="C52" s="85" t="s">
        <v>132</v>
      </c>
      <c r="D52" s="10"/>
      <c r="E52" s="10"/>
      <c r="F52" s="78"/>
      <c r="G52" s="77"/>
      <c r="H52" s="47"/>
    </row>
    <row r="53" spans="1:8" s="14" customFormat="1" outlineLevel="3" x14ac:dyDescent="0.2">
      <c r="A53" s="94"/>
      <c r="B53" s="95"/>
      <c r="C53" s="84" t="s">
        <v>72</v>
      </c>
      <c r="D53" s="9" t="s">
        <v>16</v>
      </c>
      <c r="E53" s="10">
        <v>72</v>
      </c>
      <c r="F53" s="78"/>
      <c r="G53" s="77"/>
      <c r="H53" s="47"/>
    </row>
    <row r="54" spans="1:8" s="14" customFormat="1" outlineLevel="2" x14ac:dyDescent="0.2">
      <c r="A54" s="94"/>
      <c r="B54" s="95"/>
      <c r="C54" s="85" t="s">
        <v>133</v>
      </c>
      <c r="D54" s="10"/>
      <c r="E54" s="10"/>
      <c r="F54" s="78"/>
      <c r="G54" s="77"/>
      <c r="H54" s="47"/>
    </row>
    <row r="55" spans="1:8" s="14" customFormat="1" outlineLevel="3" x14ac:dyDescent="0.2">
      <c r="A55" s="94"/>
      <c r="B55" s="95"/>
      <c r="C55" s="84" t="s">
        <v>72</v>
      </c>
      <c r="D55" s="9" t="s">
        <v>16</v>
      </c>
      <c r="E55" s="10">
        <v>208</v>
      </c>
      <c r="F55" s="78"/>
      <c r="G55" s="77"/>
      <c r="H55" s="47"/>
    </row>
    <row r="56" spans="1:8" s="14" customFormat="1" hidden="1" outlineLevel="2" x14ac:dyDescent="0.2">
      <c r="A56" s="94"/>
      <c r="B56" s="95"/>
      <c r="C56" s="85"/>
      <c r="D56" s="10"/>
      <c r="E56" s="83"/>
      <c r="F56" s="78"/>
      <c r="G56" s="77"/>
      <c r="H56" s="47"/>
    </row>
    <row r="57" spans="1:8" s="14" customFormat="1" hidden="1" outlineLevel="3" x14ac:dyDescent="0.2">
      <c r="A57" s="94"/>
      <c r="B57" s="95"/>
      <c r="C57" s="84"/>
      <c r="D57" s="9"/>
      <c r="E57" s="83"/>
      <c r="F57" s="78"/>
      <c r="G57" s="77"/>
      <c r="H57" s="47"/>
    </row>
    <row r="58" spans="1:8" s="14" customFormat="1" outlineLevel="3" x14ac:dyDescent="0.2">
      <c r="A58" s="94">
        <f>A27+0.001</f>
        <v>2.4219999999999997</v>
      </c>
      <c r="B58" s="95"/>
      <c r="C58" s="85" t="s">
        <v>60</v>
      </c>
      <c r="D58" s="10"/>
      <c r="E58" s="10"/>
      <c r="F58" s="78"/>
      <c r="G58" s="77"/>
      <c r="H58" s="47"/>
    </row>
    <row r="59" spans="1:8" s="14" customFormat="1" outlineLevel="3" x14ac:dyDescent="0.2">
      <c r="A59" s="94"/>
      <c r="B59" s="95"/>
      <c r="C59" s="84" t="s">
        <v>64</v>
      </c>
      <c r="D59" s="10"/>
      <c r="E59" s="10"/>
      <c r="F59" s="78"/>
      <c r="G59" s="77"/>
      <c r="H59" s="47"/>
    </row>
    <row r="60" spans="1:8" s="14" customFormat="1" outlineLevel="3" x14ac:dyDescent="0.2">
      <c r="A60" s="1"/>
      <c r="B60" s="59"/>
      <c r="C60" s="85" t="s">
        <v>82</v>
      </c>
      <c r="D60" s="10"/>
      <c r="E60" s="10"/>
      <c r="F60" s="78"/>
      <c r="G60" s="77"/>
      <c r="H60" s="47"/>
    </row>
    <row r="61" spans="1:8" s="14" customFormat="1" outlineLevel="3" x14ac:dyDescent="0.2">
      <c r="A61" s="94"/>
      <c r="B61" s="95"/>
      <c r="C61" s="63" t="s">
        <v>73</v>
      </c>
      <c r="D61" s="9" t="s">
        <v>16</v>
      </c>
      <c r="E61" s="10">
        <v>16</v>
      </c>
      <c r="F61" s="78"/>
      <c r="G61" s="77"/>
      <c r="H61" s="47"/>
    </row>
    <row r="62" spans="1:8" s="14" customFormat="1" outlineLevel="3" x14ac:dyDescent="0.2">
      <c r="A62" s="1"/>
      <c r="B62" s="59"/>
      <c r="C62" s="85" t="s">
        <v>112</v>
      </c>
      <c r="D62" s="10"/>
      <c r="E62" s="10"/>
      <c r="F62" s="78"/>
      <c r="G62" s="77"/>
      <c r="H62" s="47"/>
    </row>
    <row r="63" spans="1:8" s="14" customFormat="1" outlineLevel="3" x14ac:dyDescent="0.2">
      <c r="A63" s="94"/>
      <c r="B63" s="95"/>
      <c r="C63" s="63" t="s">
        <v>73</v>
      </c>
      <c r="D63" s="9" t="s">
        <v>16</v>
      </c>
      <c r="E63" s="10">
        <v>18</v>
      </c>
      <c r="F63" s="78"/>
      <c r="G63" s="77"/>
      <c r="H63" s="47"/>
    </row>
    <row r="64" spans="1:8" s="14" customFormat="1" hidden="1" outlineLevel="3" x14ac:dyDescent="0.2">
      <c r="A64" s="94"/>
      <c r="B64" s="95"/>
      <c r="C64" s="63"/>
      <c r="D64" s="9"/>
      <c r="E64" s="10"/>
      <c r="F64" s="78"/>
      <c r="G64" s="77"/>
      <c r="H64" s="47"/>
    </row>
    <row r="65" spans="1:8" s="14" customFormat="1" outlineLevel="3" x14ac:dyDescent="0.2">
      <c r="A65" s="1"/>
      <c r="B65" s="59"/>
      <c r="C65" s="85" t="s">
        <v>94</v>
      </c>
      <c r="D65" s="10"/>
      <c r="E65" s="10"/>
      <c r="F65" s="78"/>
      <c r="G65" s="77"/>
      <c r="H65" s="47"/>
    </row>
    <row r="66" spans="1:8" s="14" customFormat="1" outlineLevel="3" x14ac:dyDescent="0.2">
      <c r="A66" s="94"/>
      <c r="B66" s="95"/>
      <c r="C66" s="63" t="s">
        <v>73</v>
      </c>
      <c r="D66" s="9" t="s">
        <v>16</v>
      </c>
      <c r="E66" s="10">
        <v>19</v>
      </c>
      <c r="F66" s="78"/>
      <c r="G66" s="77"/>
      <c r="H66" s="47"/>
    </row>
    <row r="67" spans="1:8" s="14" customFormat="1" outlineLevel="3" x14ac:dyDescent="0.2">
      <c r="A67" s="94"/>
      <c r="B67" s="95"/>
      <c r="C67" s="63" t="s">
        <v>87</v>
      </c>
      <c r="D67" s="9" t="s">
        <v>16</v>
      </c>
      <c r="E67" s="10">
        <v>1</v>
      </c>
      <c r="F67" s="78"/>
      <c r="G67" s="77"/>
      <c r="H67" s="47"/>
    </row>
    <row r="68" spans="1:8" s="14" customFormat="1" outlineLevel="3" x14ac:dyDescent="0.2">
      <c r="A68" s="94"/>
      <c r="B68" s="95"/>
      <c r="C68" s="63" t="s">
        <v>74</v>
      </c>
      <c r="D68" s="9" t="s">
        <v>16</v>
      </c>
      <c r="E68" s="10">
        <v>102</v>
      </c>
      <c r="F68" s="78"/>
      <c r="G68" s="77"/>
      <c r="H68" s="47"/>
    </row>
    <row r="69" spans="1:8" s="14" customFormat="1" hidden="1" outlineLevel="3" x14ac:dyDescent="0.2">
      <c r="A69" s="94"/>
      <c r="B69" s="95"/>
      <c r="C69" s="63"/>
      <c r="D69" s="9"/>
      <c r="E69" s="83"/>
      <c r="F69" s="78"/>
      <c r="G69" s="77"/>
      <c r="H69" s="47"/>
    </row>
    <row r="70" spans="1:8" s="14" customFormat="1" hidden="1" outlineLevel="3" x14ac:dyDescent="0.2">
      <c r="A70" s="94"/>
      <c r="B70" s="95"/>
      <c r="C70" s="63"/>
      <c r="D70" s="9"/>
      <c r="E70" s="83"/>
      <c r="F70" s="78"/>
      <c r="G70" s="77"/>
      <c r="H70" s="47"/>
    </row>
    <row r="71" spans="1:8" s="14" customFormat="1" outlineLevel="3" x14ac:dyDescent="0.2">
      <c r="A71" s="94"/>
      <c r="B71" s="95"/>
      <c r="C71" s="63" t="s">
        <v>88</v>
      </c>
      <c r="D71" s="9" t="s">
        <v>16</v>
      </c>
      <c r="E71" s="10">
        <f>2*18</f>
        <v>36</v>
      </c>
      <c r="F71" s="78"/>
      <c r="G71" s="77"/>
      <c r="H71" s="47"/>
    </row>
    <row r="72" spans="1:8" s="14" customFormat="1" outlineLevel="3" x14ac:dyDescent="0.2">
      <c r="A72" s="94"/>
      <c r="B72" s="95"/>
      <c r="C72" s="63" t="s">
        <v>89</v>
      </c>
      <c r="D72" s="9" t="s">
        <v>16</v>
      </c>
      <c r="E72" s="10">
        <v>38</v>
      </c>
      <c r="F72" s="78"/>
      <c r="G72" s="77"/>
      <c r="H72" s="47"/>
    </row>
    <row r="73" spans="1:8" s="14" customFormat="1" outlineLevel="3" x14ac:dyDescent="0.2">
      <c r="A73" s="94"/>
      <c r="B73" s="95"/>
      <c r="C73" s="63" t="s">
        <v>90</v>
      </c>
      <c r="D73" s="9" t="s">
        <v>16</v>
      </c>
      <c r="E73" s="10">
        <f>1*18</f>
        <v>18</v>
      </c>
      <c r="F73" s="78"/>
      <c r="G73" s="77"/>
      <c r="H73" s="47"/>
    </row>
    <row r="74" spans="1:8" s="14" customFormat="1" outlineLevel="3" x14ac:dyDescent="0.2">
      <c r="A74" s="1"/>
      <c r="B74" s="59"/>
      <c r="C74" s="85" t="s">
        <v>133</v>
      </c>
      <c r="D74" s="10"/>
      <c r="E74" s="10"/>
      <c r="F74" s="78"/>
      <c r="G74" s="77"/>
      <c r="H74" s="47"/>
    </row>
    <row r="75" spans="1:8" s="14" customFormat="1" outlineLevel="3" x14ac:dyDescent="0.2">
      <c r="A75" s="94"/>
      <c r="B75" s="95"/>
      <c r="C75" s="63" t="s">
        <v>87</v>
      </c>
      <c r="D75" s="9" t="s">
        <v>16</v>
      </c>
      <c r="E75" s="10">
        <v>104</v>
      </c>
      <c r="F75" s="78"/>
      <c r="G75" s="77"/>
      <c r="H75" s="47"/>
    </row>
    <row r="76" spans="1:8" s="14" customFormat="1" hidden="1" outlineLevel="3" x14ac:dyDescent="0.2">
      <c r="A76" s="94"/>
      <c r="B76" s="95"/>
      <c r="C76" s="63"/>
      <c r="D76" s="9"/>
      <c r="E76" s="10"/>
      <c r="F76" s="78"/>
      <c r="G76" s="77"/>
      <c r="H76" s="47"/>
    </row>
    <row r="77" spans="1:8" s="14" customFormat="1" hidden="1" outlineLevel="3" x14ac:dyDescent="0.2">
      <c r="A77" s="94"/>
      <c r="B77" s="95"/>
      <c r="C77" s="63"/>
      <c r="D77" s="9"/>
      <c r="E77" s="10"/>
      <c r="F77" s="78"/>
      <c r="G77" s="77"/>
      <c r="H77" s="47"/>
    </row>
    <row r="78" spans="1:8" s="14" customFormat="1" hidden="1" outlineLevel="3" x14ac:dyDescent="0.2">
      <c r="A78" s="94"/>
      <c r="B78" s="95"/>
      <c r="C78" s="63"/>
      <c r="D78" s="9"/>
      <c r="E78" s="10"/>
      <c r="F78" s="78"/>
      <c r="G78" s="77"/>
      <c r="H78" s="47"/>
    </row>
    <row r="79" spans="1:8" s="14" customFormat="1" outlineLevel="3" x14ac:dyDescent="0.2">
      <c r="A79" s="1"/>
      <c r="B79" s="59"/>
      <c r="C79" s="85" t="s">
        <v>91</v>
      </c>
      <c r="D79" s="10"/>
      <c r="E79" s="10"/>
      <c r="F79" s="78"/>
      <c r="G79" s="77"/>
      <c r="H79" s="47"/>
    </row>
    <row r="80" spans="1:8" s="14" customFormat="1" hidden="1" outlineLevel="3" x14ac:dyDescent="0.2">
      <c r="A80" s="94"/>
      <c r="B80" s="95"/>
      <c r="C80" s="63"/>
      <c r="D80" s="9"/>
      <c r="E80" s="10"/>
      <c r="F80" s="78"/>
      <c r="G80" s="77"/>
      <c r="H80" s="47"/>
    </row>
    <row r="81" spans="1:8" s="14" customFormat="1" hidden="1" outlineLevel="3" x14ac:dyDescent="0.2">
      <c r="A81" s="1"/>
      <c r="B81" s="59"/>
      <c r="C81" s="63"/>
      <c r="D81" s="9"/>
      <c r="E81" s="10"/>
      <c r="F81" s="78"/>
      <c r="G81" s="77"/>
      <c r="H81" s="47"/>
    </row>
    <row r="82" spans="1:8" s="14" customFormat="1" hidden="1" outlineLevel="3" x14ac:dyDescent="0.2">
      <c r="A82" s="1"/>
      <c r="B82" s="59"/>
      <c r="C82" s="63"/>
      <c r="D82" s="9"/>
      <c r="E82" s="10"/>
      <c r="F82" s="78"/>
      <c r="G82" s="77"/>
      <c r="H82" s="47"/>
    </row>
    <row r="83" spans="1:8" s="14" customFormat="1" outlineLevel="3" x14ac:dyDescent="0.2">
      <c r="A83" s="94"/>
      <c r="B83" s="95"/>
      <c r="C83" s="63" t="s">
        <v>73</v>
      </c>
      <c r="D83" s="9" t="s">
        <v>16</v>
      </c>
      <c r="E83" s="10">
        <v>16</v>
      </c>
      <c r="F83" s="78"/>
      <c r="G83" s="77"/>
      <c r="H83" s="47"/>
    </row>
    <row r="84" spans="1:8" s="14" customFormat="1" outlineLevel="3" x14ac:dyDescent="0.2">
      <c r="A84" s="94"/>
      <c r="B84" s="95"/>
      <c r="C84" s="63" t="s">
        <v>74</v>
      </c>
      <c r="D84" s="9" t="s">
        <v>16</v>
      </c>
      <c r="E84" s="10">
        <f>32</f>
        <v>32</v>
      </c>
      <c r="F84" s="78"/>
      <c r="G84" s="77"/>
      <c r="H84" s="47"/>
    </row>
    <row r="85" spans="1:8" s="14" customFormat="1" hidden="1" outlineLevel="3" x14ac:dyDescent="0.2">
      <c r="A85" s="94"/>
      <c r="B85" s="95"/>
      <c r="C85" s="63"/>
      <c r="D85" s="9"/>
      <c r="E85" s="83"/>
      <c r="F85" s="78"/>
      <c r="G85" s="77"/>
      <c r="H85" s="47"/>
    </row>
    <row r="86" spans="1:8" s="14" customFormat="1" outlineLevel="3" x14ac:dyDescent="0.2">
      <c r="A86" s="1"/>
      <c r="B86" s="59"/>
      <c r="C86" s="85" t="s">
        <v>134</v>
      </c>
      <c r="D86" s="10"/>
      <c r="E86" s="10"/>
      <c r="F86" s="78"/>
      <c r="G86" s="77"/>
      <c r="H86" s="47"/>
    </row>
    <row r="87" spans="1:8" s="14" customFormat="1" outlineLevel="3" x14ac:dyDescent="0.2">
      <c r="A87" s="94"/>
      <c r="B87" s="95"/>
      <c r="C87" s="63" t="s">
        <v>73</v>
      </c>
      <c r="D87" s="9" t="s">
        <v>16</v>
      </c>
      <c r="E87" s="10">
        <v>32</v>
      </c>
      <c r="F87" s="78"/>
      <c r="G87" s="77"/>
      <c r="H87" s="47"/>
    </row>
    <row r="88" spans="1:8" s="14" customFormat="1" outlineLevel="3" x14ac:dyDescent="0.2">
      <c r="A88" s="1"/>
      <c r="B88" s="59"/>
      <c r="C88" s="85" t="s">
        <v>132</v>
      </c>
      <c r="D88" s="10"/>
      <c r="E88" s="10"/>
      <c r="F88" s="78"/>
      <c r="G88" s="77"/>
      <c r="H88" s="47"/>
    </row>
    <row r="89" spans="1:8" s="14" customFormat="1" outlineLevel="3" x14ac:dyDescent="0.2">
      <c r="A89" s="94"/>
      <c r="B89" s="95"/>
      <c r="C89" s="63" t="s">
        <v>73</v>
      </c>
      <c r="D89" s="9" t="s">
        <v>16</v>
      </c>
      <c r="E89" s="10">
        <v>72</v>
      </c>
      <c r="F89" s="78"/>
      <c r="G89" s="77"/>
      <c r="H89" s="47"/>
    </row>
    <row r="90" spans="1:8" s="14" customFormat="1" hidden="1" outlineLevel="3" x14ac:dyDescent="0.2">
      <c r="A90" s="94"/>
      <c r="B90" s="95"/>
      <c r="C90" s="63"/>
      <c r="D90" s="9"/>
      <c r="E90" s="83"/>
      <c r="F90" s="78"/>
      <c r="G90" s="77"/>
      <c r="H90" s="47"/>
    </row>
    <row r="91" spans="1:8" s="14" customFormat="1" hidden="1" outlineLevel="3" x14ac:dyDescent="0.2">
      <c r="A91" s="94"/>
      <c r="B91" s="95"/>
      <c r="C91" s="63"/>
      <c r="D91" s="9"/>
      <c r="E91" s="83"/>
      <c r="F91" s="78"/>
      <c r="G91" s="77"/>
      <c r="H91" s="47"/>
    </row>
    <row r="92" spans="1:8" s="14" customFormat="1" hidden="1" outlineLevel="3" x14ac:dyDescent="0.2">
      <c r="A92" s="1"/>
      <c r="B92" s="59"/>
      <c r="C92" s="85"/>
      <c r="D92" s="10"/>
      <c r="E92" s="83"/>
      <c r="F92" s="78"/>
      <c r="G92" s="77"/>
      <c r="H92" s="47"/>
    </row>
    <row r="93" spans="1:8" s="14" customFormat="1" hidden="1" outlineLevel="3" x14ac:dyDescent="0.2">
      <c r="A93" s="94"/>
      <c r="B93" s="95"/>
      <c r="C93" s="63"/>
      <c r="D93" s="9"/>
      <c r="E93" s="83"/>
      <c r="F93" s="78"/>
      <c r="G93" s="77"/>
      <c r="H93" s="47"/>
    </row>
    <row r="94" spans="1:8" s="14" customFormat="1" hidden="1" outlineLevel="3" x14ac:dyDescent="0.2">
      <c r="A94" s="94"/>
      <c r="B94" s="95"/>
      <c r="C94" s="63"/>
      <c r="D94" s="9"/>
      <c r="E94" s="83"/>
      <c r="F94" s="78"/>
      <c r="G94" s="77"/>
      <c r="H94" s="47"/>
    </row>
    <row r="95" spans="1:8" s="14" customFormat="1" outlineLevel="3" x14ac:dyDescent="0.2">
      <c r="A95" s="94">
        <f>A58+0.001</f>
        <v>2.4229999999999996</v>
      </c>
      <c r="B95" s="95"/>
      <c r="C95" s="85" t="s">
        <v>57</v>
      </c>
      <c r="D95" s="10"/>
      <c r="E95" s="10"/>
      <c r="F95" s="78"/>
      <c r="G95" s="77"/>
      <c r="H95" s="47"/>
    </row>
    <row r="96" spans="1:8" s="14" customFormat="1" outlineLevel="3" x14ac:dyDescent="0.2">
      <c r="A96" s="94"/>
      <c r="B96" s="95"/>
      <c r="C96" s="84" t="s">
        <v>64</v>
      </c>
      <c r="D96" s="10"/>
      <c r="E96" s="10"/>
      <c r="F96" s="78"/>
      <c r="G96" s="77"/>
      <c r="H96" s="47"/>
    </row>
    <row r="97" spans="1:8" s="14" customFormat="1" outlineLevel="3" x14ac:dyDescent="0.2">
      <c r="A97" s="94"/>
      <c r="B97" s="95"/>
      <c r="C97" s="63" t="s">
        <v>95</v>
      </c>
      <c r="D97" s="9" t="s">
        <v>16</v>
      </c>
      <c r="E97" s="10">
        <f>1*18</f>
        <v>18</v>
      </c>
      <c r="F97" s="78"/>
      <c r="G97" s="77"/>
      <c r="H97" s="47"/>
    </row>
    <row r="98" spans="1:8" s="14" customFormat="1" outlineLevel="3" x14ac:dyDescent="0.2">
      <c r="A98" s="94"/>
      <c r="B98" s="95"/>
      <c r="C98" s="63" t="s">
        <v>97</v>
      </c>
      <c r="D98" s="9" t="s">
        <v>16</v>
      </c>
      <c r="E98" s="10">
        <f>E125</f>
        <v>36</v>
      </c>
      <c r="F98" s="78"/>
      <c r="G98" s="77"/>
      <c r="H98" s="47"/>
    </row>
    <row r="99" spans="1:8" s="14" customFormat="1" hidden="1" outlineLevel="3" x14ac:dyDescent="0.2">
      <c r="A99" s="94"/>
      <c r="B99" s="95"/>
      <c r="C99" s="63"/>
      <c r="D99" s="9"/>
      <c r="E99" s="83"/>
      <c r="F99" s="78"/>
      <c r="G99" s="77"/>
      <c r="H99" s="47"/>
    </row>
    <row r="100" spans="1:8" s="14" customFormat="1" outlineLevel="3" x14ac:dyDescent="0.2">
      <c r="A100" s="94"/>
      <c r="B100" s="95"/>
      <c r="C100" s="63" t="s">
        <v>96</v>
      </c>
      <c r="D100" s="9" t="s">
        <v>16</v>
      </c>
      <c r="E100" s="10">
        <f>1*18</f>
        <v>18</v>
      </c>
      <c r="F100" s="78"/>
      <c r="G100" s="77"/>
      <c r="H100" s="47"/>
    </row>
    <row r="101" spans="1:8" s="14" customFormat="1" outlineLevel="3" x14ac:dyDescent="0.2">
      <c r="A101" s="94"/>
      <c r="B101" s="95"/>
      <c r="C101" s="63" t="s">
        <v>75</v>
      </c>
      <c r="D101" s="9" t="s">
        <v>16</v>
      </c>
      <c r="E101" s="10">
        <f>E72</f>
        <v>38</v>
      </c>
      <c r="F101" s="78"/>
      <c r="G101" s="77"/>
      <c r="H101" s="47"/>
    </row>
    <row r="102" spans="1:8" s="14" customFormat="1" outlineLevel="3" x14ac:dyDescent="0.2">
      <c r="A102" s="94"/>
      <c r="B102" s="95"/>
      <c r="C102" s="63" t="s">
        <v>131</v>
      </c>
      <c r="D102" s="9" t="s">
        <v>16</v>
      </c>
      <c r="E102" s="10">
        <f>1*18</f>
        <v>18</v>
      </c>
      <c r="F102" s="78"/>
      <c r="G102" s="77"/>
      <c r="H102" s="47"/>
    </row>
    <row r="103" spans="1:8" s="14" customFormat="1" hidden="1" outlineLevel="3" x14ac:dyDescent="0.2">
      <c r="A103" s="94"/>
      <c r="B103" s="95"/>
      <c r="C103" s="63"/>
      <c r="D103" s="9"/>
      <c r="E103" s="83">
        <v>0</v>
      </c>
      <c r="F103" s="78"/>
      <c r="G103" s="77"/>
      <c r="H103" s="47"/>
    </row>
    <row r="104" spans="1:8" s="14" customFormat="1" outlineLevel="3" x14ac:dyDescent="0.2">
      <c r="A104" s="94"/>
      <c r="B104" s="95"/>
      <c r="C104" s="63" t="s">
        <v>135</v>
      </c>
      <c r="D104" s="9" t="s">
        <v>16</v>
      </c>
      <c r="E104" s="10">
        <v>54</v>
      </c>
      <c r="F104" s="78"/>
      <c r="G104" s="77"/>
      <c r="H104" s="47"/>
    </row>
    <row r="105" spans="1:8" s="14" customFormat="1" outlineLevel="3" x14ac:dyDescent="0.2">
      <c r="A105" s="94"/>
      <c r="B105" s="95"/>
      <c r="C105" s="63" t="s">
        <v>98</v>
      </c>
      <c r="D105" s="9" t="s">
        <v>16</v>
      </c>
      <c r="E105" s="10">
        <f>1*18</f>
        <v>18</v>
      </c>
      <c r="F105" s="78"/>
      <c r="G105" s="77"/>
      <c r="H105" s="47"/>
    </row>
    <row r="106" spans="1:8" s="14" customFormat="1" outlineLevel="3" x14ac:dyDescent="0.2">
      <c r="A106" s="94"/>
      <c r="B106" s="95"/>
      <c r="C106" s="63" t="s">
        <v>99</v>
      </c>
      <c r="D106" s="9" t="s">
        <v>16</v>
      </c>
      <c r="E106" s="10">
        <f>1*18</f>
        <v>18</v>
      </c>
      <c r="F106" s="78"/>
      <c r="G106" s="77"/>
      <c r="H106" s="47"/>
    </row>
    <row r="107" spans="1:8" s="14" customFormat="1" hidden="1" outlineLevel="3" x14ac:dyDescent="0.2">
      <c r="A107" s="94"/>
      <c r="B107" s="95"/>
      <c r="C107" s="63"/>
      <c r="D107" s="9"/>
      <c r="E107" s="83"/>
      <c r="F107" s="78"/>
      <c r="G107" s="77"/>
      <c r="H107" s="47"/>
    </row>
    <row r="108" spans="1:8" s="14" customFormat="1" hidden="1" outlineLevel="3" x14ac:dyDescent="0.2">
      <c r="A108" s="94"/>
      <c r="B108" s="95"/>
      <c r="C108" s="63"/>
      <c r="D108" s="9"/>
      <c r="E108" s="83"/>
      <c r="F108" s="78"/>
      <c r="G108" s="77"/>
      <c r="H108" s="47"/>
    </row>
    <row r="109" spans="1:8" s="14" customFormat="1" outlineLevel="3" x14ac:dyDescent="0.2">
      <c r="A109" s="94">
        <f>A95+0.001</f>
        <v>2.4239999999999995</v>
      </c>
      <c r="B109" s="95"/>
      <c r="C109" s="85" t="s">
        <v>100</v>
      </c>
      <c r="D109" s="10"/>
      <c r="E109" s="10"/>
      <c r="F109" s="78"/>
      <c r="G109" s="77"/>
      <c r="H109" s="47"/>
    </row>
    <row r="110" spans="1:8" s="14" customFormat="1" ht="22.5" outlineLevel="3" x14ac:dyDescent="0.2">
      <c r="A110" s="94"/>
      <c r="B110" s="95"/>
      <c r="C110" s="63" t="s">
        <v>101</v>
      </c>
      <c r="D110" s="9" t="s">
        <v>17</v>
      </c>
      <c r="E110" s="10">
        <f>2*16+1+1</f>
        <v>34</v>
      </c>
      <c r="F110" s="78"/>
      <c r="G110" s="77"/>
      <c r="H110" s="47"/>
    </row>
    <row r="111" spans="1:8" s="14" customFormat="1" outlineLevel="3" x14ac:dyDescent="0.2">
      <c r="A111" s="94">
        <f>A109+0.001</f>
        <v>2.4249999999999994</v>
      </c>
      <c r="B111" s="95"/>
      <c r="C111" s="85" t="s">
        <v>58</v>
      </c>
      <c r="D111" s="10"/>
      <c r="E111" s="10"/>
      <c r="F111" s="78"/>
      <c r="G111" s="77"/>
      <c r="H111" s="47"/>
    </row>
    <row r="112" spans="1:8" s="14" customFormat="1" outlineLevel="3" x14ac:dyDescent="0.2">
      <c r="A112" s="94"/>
      <c r="B112" s="95"/>
      <c r="C112" s="62" t="s">
        <v>61</v>
      </c>
      <c r="D112" s="10"/>
      <c r="E112" s="10"/>
      <c r="F112" s="78"/>
      <c r="G112" s="77"/>
      <c r="H112" s="47"/>
    </row>
    <row r="113" spans="1:8" s="14" customFormat="1" ht="22.5" outlineLevel="3" x14ac:dyDescent="0.2">
      <c r="A113" s="94"/>
      <c r="B113" s="95"/>
      <c r="C113" s="86" t="s">
        <v>66</v>
      </c>
      <c r="D113" s="10"/>
      <c r="E113" s="10"/>
      <c r="F113" s="78"/>
      <c r="G113" s="77"/>
      <c r="H113" s="47"/>
    </row>
    <row r="114" spans="1:8" s="14" customFormat="1" outlineLevel="3" x14ac:dyDescent="0.2">
      <c r="A114" s="94"/>
      <c r="B114" s="95"/>
      <c r="C114" s="85" t="s">
        <v>111</v>
      </c>
      <c r="D114" s="10"/>
      <c r="E114" s="10"/>
      <c r="F114" s="78"/>
      <c r="G114" s="77"/>
      <c r="H114" s="47"/>
    </row>
    <row r="115" spans="1:8" s="14" customFormat="1" outlineLevel="3" x14ac:dyDescent="0.2">
      <c r="A115" s="94"/>
      <c r="B115" s="95"/>
      <c r="C115" s="84" t="s">
        <v>136</v>
      </c>
      <c r="D115" s="9" t="s">
        <v>16</v>
      </c>
      <c r="E115" s="10">
        <v>34</v>
      </c>
      <c r="F115" s="78"/>
      <c r="G115" s="77"/>
      <c r="H115" s="47"/>
    </row>
    <row r="116" spans="1:8" s="14" customFormat="1" outlineLevel="3" x14ac:dyDescent="0.2">
      <c r="A116" s="94"/>
      <c r="B116" s="95"/>
      <c r="C116" s="84" t="s">
        <v>139</v>
      </c>
      <c r="D116" s="9" t="s">
        <v>16</v>
      </c>
      <c r="E116" s="10">
        <v>36</v>
      </c>
      <c r="F116" s="78"/>
      <c r="G116" s="77"/>
      <c r="H116" s="47"/>
    </row>
    <row r="117" spans="1:8" s="14" customFormat="1" outlineLevel="3" x14ac:dyDescent="0.2">
      <c r="A117" s="94"/>
      <c r="B117" s="95"/>
      <c r="C117" s="84" t="s">
        <v>137</v>
      </c>
      <c r="D117" s="9" t="s">
        <v>16</v>
      </c>
      <c r="E117" s="10">
        <v>188</v>
      </c>
      <c r="F117" s="78"/>
      <c r="G117" s="77"/>
      <c r="H117" s="47"/>
    </row>
    <row r="118" spans="1:8" s="14" customFormat="1" outlineLevel="3" x14ac:dyDescent="0.2">
      <c r="A118" s="94"/>
      <c r="B118" s="95"/>
      <c r="C118" s="84" t="s">
        <v>138</v>
      </c>
      <c r="D118" s="9" t="s">
        <v>16</v>
      </c>
      <c r="E118" s="10">
        <v>36</v>
      </c>
      <c r="F118" s="78"/>
      <c r="G118" s="77"/>
      <c r="H118" s="47"/>
    </row>
    <row r="119" spans="1:8" s="14" customFormat="1" hidden="1" outlineLevel="2" collapsed="1" x14ac:dyDescent="0.2">
      <c r="A119" s="141"/>
      <c r="B119" s="142"/>
      <c r="C119" s="85"/>
      <c r="D119" s="10"/>
      <c r="E119" s="10"/>
      <c r="F119" s="78"/>
      <c r="G119" s="77"/>
      <c r="H119" s="47"/>
    </row>
    <row r="120" spans="1:8" s="14" customFormat="1" hidden="1" outlineLevel="3" x14ac:dyDescent="0.2">
      <c r="A120" s="94"/>
      <c r="B120" s="95"/>
      <c r="C120" s="84"/>
      <c r="D120" s="9"/>
      <c r="E120" s="10"/>
      <c r="F120" s="78"/>
      <c r="G120" s="77"/>
      <c r="H120" s="47"/>
    </row>
    <row r="121" spans="1:8" s="14" customFormat="1" hidden="1" outlineLevel="3" x14ac:dyDescent="0.2">
      <c r="A121" s="94"/>
      <c r="B121" s="95"/>
      <c r="C121" s="84"/>
      <c r="D121" s="9"/>
      <c r="E121" s="10"/>
      <c r="F121" s="78"/>
      <c r="G121" s="77"/>
      <c r="H121" s="47"/>
    </row>
    <row r="122" spans="1:8" s="14" customFormat="1" outlineLevel="2" x14ac:dyDescent="0.2">
      <c r="A122" s="94"/>
      <c r="B122" s="95"/>
      <c r="C122" s="85" t="s">
        <v>113</v>
      </c>
      <c r="D122" s="10"/>
      <c r="E122" s="10"/>
      <c r="F122" s="78"/>
      <c r="G122" s="77"/>
      <c r="H122" s="47"/>
    </row>
    <row r="123" spans="1:8" s="14" customFormat="1" outlineLevel="3" x14ac:dyDescent="0.2">
      <c r="A123" s="94"/>
      <c r="B123" s="95"/>
      <c r="C123" s="84" t="s">
        <v>59</v>
      </c>
      <c r="D123" s="9" t="s">
        <v>16</v>
      </c>
      <c r="E123" s="10">
        <f>3*18</f>
        <v>54</v>
      </c>
      <c r="F123" s="78"/>
      <c r="G123" s="77"/>
      <c r="H123" s="47"/>
    </row>
    <row r="124" spans="1:8" s="14" customFormat="1" outlineLevel="2" x14ac:dyDescent="0.2">
      <c r="A124" s="94">
        <v>2.4260000000000002</v>
      </c>
      <c r="B124" s="95"/>
      <c r="C124" s="85" t="s">
        <v>114</v>
      </c>
      <c r="D124" s="10"/>
      <c r="E124" s="10"/>
      <c r="F124" s="78"/>
      <c r="G124" s="77"/>
      <c r="H124" s="47"/>
    </row>
    <row r="125" spans="1:8" s="14" customFormat="1" ht="33.75" outlineLevel="3" x14ac:dyDescent="0.2">
      <c r="A125" s="94"/>
      <c r="B125" s="95"/>
      <c r="C125" s="67" t="s">
        <v>115</v>
      </c>
      <c r="D125" s="9" t="s">
        <v>16</v>
      </c>
      <c r="E125" s="10">
        <v>36</v>
      </c>
      <c r="F125" s="78"/>
      <c r="G125" s="77"/>
      <c r="H125" s="47"/>
    </row>
    <row r="126" spans="1:8" s="14" customFormat="1" hidden="1" outlineLevel="2" collapsed="1" x14ac:dyDescent="0.2">
      <c r="A126" s="94"/>
      <c r="B126" s="95"/>
      <c r="C126" s="85"/>
      <c r="D126" s="10"/>
      <c r="E126" s="10"/>
      <c r="F126" s="10"/>
      <c r="G126" s="40"/>
      <c r="H126" s="47">
        <f t="shared" ref="H126:H127" si="1">G126*F126</f>
        <v>0</v>
      </c>
    </row>
    <row r="127" spans="1:8" s="14" customFormat="1" hidden="1" outlineLevel="3" x14ac:dyDescent="0.2">
      <c r="A127" s="94"/>
      <c r="B127" s="95"/>
      <c r="C127" s="84"/>
      <c r="D127" s="9"/>
      <c r="E127" s="10"/>
      <c r="F127" s="10"/>
      <c r="G127" s="40"/>
      <c r="H127" s="47">
        <f t="shared" si="1"/>
        <v>0</v>
      </c>
    </row>
    <row r="128" spans="1:8" s="14" customFormat="1" hidden="1" outlineLevel="3" x14ac:dyDescent="0.2">
      <c r="A128" s="94"/>
      <c r="B128" s="95"/>
      <c r="C128" s="84"/>
      <c r="D128" s="9"/>
      <c r="E128" s="10"/>
      <c r="F128" s="10"/>
      <c r="G128" s="40"/>
      <c r="H128" s="47">
        <f t="shared" ref="H128" si="2">G128*F128</f>
        <v>0</v>
      </c>
    </row>
    <row r="129" spans="1:8" s="14" customFormat="1" hidden="1" outlineLevel="2" collapsed="1" x14ac:dyDescent="0.2">
      <c r="A129" s="94"/>
      <c r="B129" s="95"/>
      <c r="C129" s="85"/>
      <c r="D129" s="10"/>
      <c r="E129" s="10"/>
      <c r="F129" s="10"/>
      <c r="G129" s="40"/>
      <c r="H129" s="47">
        <f t="shared" ref="H129:H130" si="3">G129*F129</f>
        <v>0</v>
      </c>
    </row>
    <row r="130" spans="1:8" s="14" customFormat="1" hidden="1" outlineLevel="3" x14ac:dyDescent="0.2">
      <c r="A130" s="94"/>
      <c r="B130" s="95"/>
      <c r="C130" s="84"/>
      <c r="D130" s="9"/>
      <c r="E130" s="10"/>
      <c r="F130" s="10"/>
      <c r="G130" s="40"/>
      <c r="H130" s="47">
        <f t="shared" si="3"/>
        <v>0</v>
      </c>
    </row>
    <row r="131" spans="1:8" s="14" customFormat="1" hidden="1" outlineLevel="2" collapsed="1" x14ac:dyDescent="0.2">
      <c r="A131" s="94"/>
      <c r="B131" s="95"/>
      <c r="C131" s="85"/>
      <c r="D131" s="10"/>
      <c r="E131" s="10"/>
      <c r="F131" s="10"/>
      <c r="G131" s="40"/>
      <c r="H131" s="47">
        <f t="shared" ref="H131:H132" si="4">G131*F131</f>
        <v>0</v>
      </c>
    </row>
    <row r="132" spans="1:8" s="14" customFormat="1" hidden="1" outlineLevel="3" x14ac:dyDescent="0.2">
      <c r="A132" s="94"/>
      <c r="B132" s="95"/>
      <c r="C132" s="84"/>
      <c r="D132" s="9"/>
      <c r="E132" s="10"/>
      <c r="F132" s="10"/>
      <c r="G132" s="40"/>
      <c r="H132" s="47">
        <f t="shared" si="4"/>
        <v>0</v>
      </c>
    </row>
    <row r="133" spans="1:8" s="38" customFormat="1" ht="12.75" x14ac:dyDescent="0.2">
      <c r="A133" s="101" t="s">
        <v>29</v>
      </c>
      <c r="B133" s="102"/>
      <c r="C133" s="102"/>
      <c r="D133" s="102"/>
      <c r="E133" s="102"/>
      <c r="F133" s="102"/>
      <c r="G133" s="103"/>
      <c r="H133" s="46"/>
    </row>
    <row r="134" spans="1:8" s="11" customFormat="1" outlineLevel="1" x14ac:dyDescent="0.2">
      <c r="A134" s="149">
        <v>3</v>
      </c>
      <c r="B134" s="150"/>
      <c r="C134" s="82" t="s">
        <v>62</v>
      </c>
      <c r="D134" s="68"/>
      <c r="E134" s="68"/>
      <c r="F134" s="68"/>
      <c r="G134" s="69"/>
      <c r="H134" s="70"/>
    </row>
    <row r="135" spans="1:8" s="14" customFormat="1" outlineLevel="1" x14ac:dyDescent="0.2">
      <c r="A135" s="108">
        <f>A134+0.1</f>
        <v>3.1</v>
      </c>
      <c r="B135" s="109"/>
      <c r="C135" s="49" t="s">
        <v>102</v>
      </c>
      <c r="D135" s="8"/>
      <c r="E135" s="12"/>
      <c r="F135" s="13"/>
      <c r="G135" s="75"/>
      <c r="H135" s="76"/>
    </row>
    <row r="136" spans="1:8" s="14" customFormat="1" ht="45" outlineLevel="3" x14ac:dyDescent="0.2">
      <c r="A136" s="94"/>
      <c r="B136" s="95"/>
      <c r="C136" s="84" t="s">
        <v>140</v>
      </c>
      <c r="D136" s="9" t="s">
        <v>27</v>
      </c>
      <c r="E136" s="9" t="s">
        <v>27</v>
      </c>
      <c r="F136" s="9" t="s">
        <v>27</v>
      </c>
      <c r="G136" s="9" t="s">
        <v>27</v>
      </c>
      <c r="H136" s="87" t="s">
        <v>27</v>
      </c>
    </row>
    <row r="137" spans="1:8" s="14" customFormat="1" outlineLevel="1" x14ac:dyDescent="0.2">
      <c r="A137" s="108">
        <f>A135+0.1</f>
        <v>3.2</v>
      </c>
      <c r="B137" s="109"/>
      <c r="C137" s="49" t="s">
        <v>63</v>
      </c>
      <c r="D137" s="8"/>
      <c r="E137" s="12"/>
      <c r="F137" s="13"/>
      <c r="G137" s="75"/>
      <c r="H137" s="76"/>
    </row>
    <row r="138" spans="1:8" s="14" customFormat="1" outlineLevel="2" x14ac:dyDescent="0.2">
      <c r="A138" s="94">
        <f>A137+0.01</f>
        <v>3.21</v>
      </c>
      <c r="B138" s="95"/>
      <c r="C138" s="64" t="s">
        <v>67</v>
      </c>
      <c r="D138" s="10"/>
      <c r="E138" s="10"/>
      <c r="F138" s="78"/>
      <c r="G138" s="77"/>
      <c r="H138" s="47"/>
    </row>
    <row r="139" spans="1:8" s="14" customFormat="1" ht="56.25" outlineLevel="3" x14ac:dyDescent="0.2">
      <c r="A139" s="94"/>
      <c r="B139" s="95"/>
      <c r="C139" s="61" t="s">
        <v>103</v>
      </c>
      <c r="D139" s="9" t="s">
        <v>17</v>
      </c>
      <c r="E139" s="10">
        <v>18</v>
      </c>
      <c r="F139" s="78"/>
      <c r="G139" s="77"/>
      <c r="H139" s="47"/>
    </row>
    <row r="140" spans="1:8" s="14" customFormat="1" ht="45" outlineLevel="3" x14ac:dyDescent="0.2">
      <c r="A140" s="94"/>
      <c r="B140" s="95"/>
      <c r="C140" s="61" t="s">
        <v>104</v>
      </c>
      <c r="D140" s="56" t="s">
        <v>27</v>
      </c>
      <c r="E140" s="56" t="s">
        <v>27</v>
      </c>
      <c r="F140" s="56" t="s">
        <v>27</v>
      </c>
      <c r="G140" s="56" t="s">
        <v>27</v>
      </c>
      <c r="H140" s="47" t="s">
        <v>27</v>
      </c>
    </row>
    <row r="141" spans="1:8" s="14" customFormat="1" ht="135" outlineLevel="3" x14ac:dyDescent="0.2">
      <c r="A141" s="94">
        <f>A138+0.01</f>
        <v>3.2199999999999998</v>
      </c>
      <c r="B141" s="95"/>
      <c r="C141" s="61" t="s">
        <v>106</v>
      </c>
      <c r="D141" s="9" t="s">
        <v>17</v>
      </c>
      <c r="E141" s="10">
        <v>18</v>
      </c>
      <c r="F141" s="78"/>
      <c r="G141" s="77"/>
      <c r="H141" s="47"/>
    </row>
    <row r="142" spans="1:8" s="14" customFormat="1" outlineLevel="2" x14ac:dyDescent="0.2">
      <c r="A142" s="94">
        <f>A141+0.01</f>
        <v>3.2299999999999995</v>
      </c>
      <c r="B142" s="95"/>
      <c r="C142" s="64" t="s">
        <v>105</v>
      </c>
      <c r="D142" s="56" t="s">
        <v>27</v>
      </c>
      <c r="E142" s="56" t="s">
        <v>27</v>
      </c>
      <c r="F142" s="56" t="s">
        <v>27</v>
      </c>
      <c r="G142" s="56" t="s">
        <v>27</v>
      </c>
      <c r="H142" s="47" t="s">
        <v>27</v>
      </c>
    </row>
    <row r="143" spans="1:8" s="14" customFormat="1" outlineLevel="3" x14ac:dyDescent="0.2">
      <c r="A143" s="94">
        <f>A142+0.01</f>
        <v>3.2399999999999993</v>
      </c>
      <c r="B143" s="95"/>
      <c r="C143" s="64" t="s">
        <v>70</v>
      </c>
      <c r="D143" s="10"/>
      <c r="E143" s="10"/>
      <c r="F143" s="78"/>
      <c r="G143" s="77"/>
      <c r="H143" s="47"/>
    </row>
    <row r="144" spans="1:8" s="14" customFormat="1" ht="22.5" outlineLevel="3" x14ac:dyDescent="0.2">
      <c r="A144" s="94"/>
      <c r="B144" s="95"/>
      <c r="C144" s="37" t="s">
        <v>107</v>
      </c>
      <c r="D144" s="9" t="s">
        <v>16</v>
      </c>
      <c r="E144" s="10">
        <f>12+8+12+12+20+6</f>
        <v>70</v>
      </c>
      <c r="F144" s="78"/>
      <c r="G144" s="77"/>
      <c r="H144" s="47"/>
    </row>
    <row r="145" spans="1:8" s="14" customFormat="1" ht="22.5" outlineLevel="3" x14ac:dyDescent="0.2">
      <c r="A145" s="94"/>
      <c r="B145" s="95"/>
      <c r="C145" s="37" t="s">
        <v>108</v>
      </c>
      <c r="D145" s="9" t="s">
        <v>16</v>
      </c>
      <c r="E145" s="10">
        <f>12+8+12+12+20+6</f>
        <v>70</v>
      </c>
      <c r="F145" s="78"/>
      <c r="G145" s="77"/>
      <c r="H145" s="47"/>
    </row>
    <row r="146" spans="1:8" s="14" customFormat="1" outlineLevel="3" x14ac:dyDescent="0.2">
      <c r="A146" s="94">
        <f>A143+0.01</f>
        <v>3.2499999999999991</v>
      </c>
      <c r="B146" s="95"/>
      <c r="C146" s="64" t="s">
        <v>68</v>
      </c>
      <c r="D146" s="9" t="s">
        <v>17</v>
      </c>
      <c r="E146" s="10">
        <v>1</v>
      </c>
      <c r="F146" s="78"/>
      <c r="G146" s="77"/>
      <c r="H146" s="47"/>
    </row>
    <row r="147" spans="1:8" s="14" customFormat="1" ht="22.5" outlineLevel="3" x14ac:dyDescent="0.2">
      <c r="A147" s="94">
        <f>A146+0.01</f>
        <v>3.2599999999999989</v>
      </c>
      <c r="B147" s="95"/>
      <c r="C147" s="37" t="s">
        <v>76</v>
      </c>
      <c r="D147" s="9" t="s">
        <v>17</v>
      </c>
      <c r="E147" s="10">
        <v>1</v>
      </c>
      <c r="F147" s="78"/>
      <c r="G147" s="77"/>
      <c r="H147" s="47"/>
    </row>
    <row r="148" spans="1:8" s="14" customFormat="1" outlineLevel="1" x14ac:dyDescent="0.2">
      <c r="A148" s="108">
        <f>A137+0.1</f>
        <v>3.3000000000000003</v>
      </c>
      <c r="B148" s="109"/>
      <c r="C148" s="49" t="s">
        <v>122</v>
      </c>
      <c r="D148" s="8"/>
      <c r="E148" s="12"/>
      <c r="F148" s="13"/>
      <c r="G148" s="75"/>
      <c r="H148" s="76"/>
    </row>
    <row r="149" spans="1:8" s="14" customFormat="1" ht="45" outlineLevel="3" x14ac:dyDescent="0.2">
      <c r="A149" s="94"/>
      <c r="B149" s="95"/>
      <c r="C149" s="61" t="s">
        <v>123</v>
      </c>
      <c r="D149" s="9" t="s">
        <v>17</v>
      </c>
      <c r="E149" s="10">
        <v>18</v>
      </c>
      <c r="F149" s="78"/>
      <c r="G149" s="77"/>
      <c r="H149" s="47"/>
    </row>
    <row r="150" spans="1:8" s="14" customFormat="1" outlineLevel="1" x14ac:dyDescent="0.2">
      <c r="A150" s="108">
        <v>3.4</v>
      </c>
      <c r="B150" s="109"/>
      <c r="C150" s="49" t="s">
        <v>124</v>
      </c>
      <c r="D150" s="8"/>
      <c r="E150" s="12"/>
      <c r="F150" s="13"/>
      <c r="G150" s="75"/>
      <c r="H150" s="76"/>
    </row>
    <row r="151" spans="1:8" s="14" customFormat="1" ht="33.75" outlineLevel="3" x14ac:dyDescent="0.2">
      <c r="A151" s="94"/>
      <c r="B151" s="95"/>
      <c r="C151" s="61" t="s">
        <v>125</v>
      </c>
      <c r="D151" s="9" t="s">
        <v>16</v>
      </c>
      <c r="E151" s="10">
        <v>18</v>
      </c>
      <c r="F151" s="79"/>
      <c r="G151" s="80"/>
      <c r="H151" s="81"/>
    </row>
    <row r="152" spans="1:8" s="38" customFormat="1" ht="13.5" thickBot="1" x14ac:dyDescent="0.25">
      <c r="A152" s="96" t="s">
        <v>30</v>
      </c>
      <c r="B152" s="97"/>
      <c r="C152" s="97"/>
      <c r="D152" s="97"/>
      <c r="E152" s="97"/>
      <c r="F152" s="97"/>
      <c r="G152" s="98"/>
      <c r="H152" s="88"/>
    </row>
    <row r="153" spans="1:8" s="15" customFormat="1" x14ac:dyDescent="0.2">
      <c r="A153" s="17"/>
      <c r="B153" s="17"/>
      <c r="C153" s="18"/>
      <c r="D153" s="19"/>
      <c r="E153" s="20"/>
      <c r="F153" s="20"/>
      <c r="G153" s="41"/>
      <c r="H153" s="42"/>
    </row>
    <row r="154" spans="1:8" s="15" customFormat="1" ht="12.75" thickBot="1" x14ac:dyDescent="0.25">
      <c r="A154" s="17"/>
      <c r="B154" s="17"/>
      <c r="C154" s="18"/>
      <c r="D154" s="19"/>
      <c r="E154" s="20"/>
      <c r="F154" s="20"/>
      <c r="G154" s="41"/>
      <c r="H154" s="42"/>
    </row>
    <row r="155" spans="1:8" s="15" customFormat="1" ht="12.75" thickBot="1" x14ac:dyDescent="0.25">
      <c r="A155" s="146" t="s">
        <v>5</v>
      </c>
      <c r="B155" s="147"/>
      <c r="C155" s="147"/>
      <c r="D155" s="147"/>
      <c r="E155" s="147"/>
      <c r="F155" s="147"/>
      <c r="G155" s="147"/>
      <c r="H155" s="148"/>
    </row>
    <row r="156" spans="1:8" s="15" customFormat="1" ht="12.75" thickBot="1" x14ac:dyDescent="0.25">
      <c r="A156" s="58"/>
      <c r="B156" s="21"/>
      <c r="C156" s="22"/>
      <c r="D156" s="19"/>
      <c r="E156" s="20"/>
      <c r="F156" s="23"/>
      <c r="G156" s="43"/>
      <c r="H156" s="43"/>
    </row>
    <row r="157" spans="1:8" s="15" customFormat="1" x14ac:dyDescent="0.2">
      <c r="A157" s="124" t="s">
        <v>23</v>
      </c>
      <c r="B157" s="125"/>
      <c r="C157" s="126"/>
      <c r="D157" s="126"/>
      <c r="E157" s="126"/>
      <c r="F157" s="126"/>
      <c r="G157" s="127" t="s">
        <v>14</v>
      </c>
      <c r="H157" s="128"/>
    </row>
    <row r="158" spans="1:8" s="15" customFormat="1" x14ac:dyDescent="0.2">
      <c r="A158" s="99">
        <f>A4</f>
        <v>1</v>
      </c>
      <c r="B158" s="100"/>
      <c r="C158" s="129" t="str">
        <f>C4</f>
        <v>GENERALITES</v>
      </c>
      <c r="D158" s="130"/>
      <c r="E158" s="130"/>
      <c r="F158" s="131"/>
      <c r="G158" s="132"/>
      <c r="H158" s="133"/>
    </row>
    <row r="159" spans="1:8" s="15" customFormat="1" x14ac:dyDescent="0.2">
      <c r="A159" s="99">
        <f>A10</f>
        <v>2</v>
      </c>
      <c r="B159" s="100"/>
      <c r="C159" s="129" t="str">
        <f>C10</f>
        <v>COURANT FORT</v>
      </c>
      <c r="D159" s="130"/>
      <c r="E159" s="130"/>
      <c r="F159" s="131"/>
      <c r="G159" s="132"/>
      <c r="H159" s="133"/>
    </row>
    <row r="160" spans="1:8" s="15" customFormat="1" ht="12.75" thickBot="1" x14ac:dyDescent="0.25">
      <c r="A160" s="99">
        <f>A134</f>
        <v>3</v>
      </c>
      <c r="B160" s="100"/>
      <c r="C160" s="129" t="str">
        <f>C134</f>
        <v>COURANT FAIBLE</v>
      </c>
      <c r="D160" s="130"/>
      <c r="E160" s="130"/>
      <c r="F160" s="131"/>
      <c r="G160" s="132"/>
      <c r="H160" s="133"/>
    </row>
    <row r="161" spans="1:8" s="24" customFormat="1" x14ac:dyDescent="0.2">
      <c r="A161" s="89"/>
      <c r="B161" s="90"/>
      <c r="C161" s="136" t="s">
        <v>3</v>
      </c>
      <c r="D161" s="136"/>
      <c r="E161" s="136"/>
      <c r="F161" s="136"/>
      <c r="G161" s="137">
        <f>SUM(G158:H160)</f>
        <v>0</v>
      </c>
      <c r="H161" s="138"/>
    </row>
    <row r="162" spans="1:8" s="24" customFormat="1" x14ac:dyDescent="0.2">
      <c r="A162" s="91"/>
      <c r="B162" s="92"/>
      <c r="C162" s="134" t="s">
        <v>6</v>
      </c>
      <c r="D162" s="134"/>
      <c r="E162" s="134"/>
      <c r="F162" s="134"/>
      <c r="G162" s="135">
        <f>G161*0.2</f>
        <v>0</v>
      </c>
      <c r="H162" s="133"/>
    </row>
    <row r="163" spans="1:8" s="24" customFormat="1" ht="12.75" thickBot="1" x14ac:dyDescent="0.25">
      <c r="A163" s="91"/>
      <c r="B163" s="92"/>
      <c r="C163" s="134" t="s">
        <v>4</v>
      </c>
      <c r="D163" s="134"/>
      <c r="E163" s="134"/>
      <c r="F163" s="134"/>
      <c r="G163" s="122">
        <f>G162+G161</f>
        <v>0</v>
      </c>
      <c r="H163" s="123"/>
    </row>
    <row r="164" spans="1:8" x14ac:dyDescent="0.2">
      <c r="D164" s="93"/>
      <c r="E164" s="93"/>
      <c r="F164" s="28"/>
      <c r="G164" s="41"/>
      <c r="H164" s="41"/>
    </row>
    <row r="165" spans="1:8" ht="38.25" customHeight="1" x14ac:dyDescent="0.2">
      <c r="A165" s="144" t="s">
        <v>31</v>
      </c>
      <c r="B165" s="144"/>
      <c r="C165" s="144"/>
      <c r="D165" s="144"/>
      <c r="E165" s="144"/>
      <c r="F165" s="144"/>
      <c r="G165" s="144"/>
      <c r="H165" s="144"/>
    </row>
    <row r="166" spans="1:8" s="15" customFormat="1" ht="27.75" customHeight="1" x14ac:dyDescent="0.2">
      <c r="A166" s="121" t="s">
        <v>24</v>
      </c>
      <c r="B166" s="121"/>
      <c r="C166" s="121"/>
      <c r="D166" s="121"/>
      <c r="E166" s="121"/>
      <c r="F166" s="121"/>
      <c r="G166" s="121"/>
      <c r="H166" s="121"/>
    </row>
    <row r="167" spans="1:8" s="15" customFormat="1" ht="27.75" customHeight="1" x14ac:dyDescent="0.2">
      <c r="A167" s="121" t="s">
        <v>25</v>
      </c>
      <c r="B167" s="121"/>
      <c r="C167" s="121"/>
      <c r="D167" s="121"/>
      <c r="E167" s="121"/>
      <c r="F167" s="121"/>
      <c r="G167" s="121"/>
      <c r="H167" s="121"/>
    </row>
    <row r="168" spans="1:8" x14ac:dyDescent="0.2">
      <c r="C168" s="30"/>
      <c r="D168" s="30"/>
      <c r="E168" s="30"/>
      <c r="F168" s="30"/>
      <c r="G168" s="45"/>
      <c r="H168" s="45"/>
    </row>
    <row r="169" spans="1:8" x14ac:dyDescent="0.2">
      <c r="A169" s="145" t="s">
        <v>7</v>
      </c>
      <c r="B169" s="145"/>
      <c r="C169" s="145"/>
      <c r="D169" s="145"/>
      <c r="E169" s="145"/>
      <c r="F169" s="145"/>
      <c r="G169" s="145"/>
      <c r="H169" s="145"/>
    </row>
    <row r="170" spans="1:8" ht="15.75" customHeight="1" x14ac:dyDescent="0.2">
      <c r="A170" s="143" t="s">
        <v>32</v>
      </c>
      <c r="B170" s="143"/>
      <c r="C170" s="143"/>
      <c r="D170" s="143"/>
      <c r="E170" s="143"/>
      <c r="F170" s="143"/>
      <c r="G170" s="143"/>
      <c r="H170" s="143"/>
    </row>
    <row r="171" spans="1:8" ht="38.25" customHeight="1" x14ac:dyDescent="0.2">
      <c r="A171" s="143" t="s">
        <v>33</v>
      </c>
      <c r="B171" s="143"/>
      <c r="C171" s="143"/>
      <c r="D171" s="143"/>
      <c r="E171" s="143"/>
      <c r="F171" s="143"/>
      <c r="G171" s="143"/>
      <c r="H171" s="143"/>
    </row>
    <row r="172" spans="1:8" x14ac:dyDescent="0.2">
      <c r="A172" s="33"/>
      <c r="B172" s="33"/>
      <c r="C172" s="32"/>
      <c r="E172" s="41"/>
      <c r="F172" s="44"/>
      <c r="G172" s="29"/>
      <c r="H172" s="29"/>
    </row>
    <row r="173" spans="1:8" x14ac:dyDescent="0.2">
      <c r="A173" s="31" t="s">
        <v>8</v>
      </c>
      <c r="B173" s="31"/>
      <c r="C173" s="31" t="s">
        <v>15</v>
      </c>
      <c r="E173" s="41"/>
      <c r="F173" s="44"/>
      <c r="G173" s="29"/>
      <c r="H173" s="29"/>
    </row>
    <row r="174" spans="1:8" x14ac:dyDescent="0.2">
      <c r="A174" s="31"/>
      <c r="B174" s="31"/>
      <c r="C174" s="31"/>
      <c r="E174" s="41"/>
      <c r="F174" s="44"/>
      <c r="G174" s="29"/>
      <c r="H174" s="29"/>
    </row>
    <row r="175" spans="1:8" x14ac:dyDescent="0.2">
      <c r="A175" s="31" t="s">
        <v>9</v>
      </c>
      <c r="B175" s="31"/>
      <c r="C175" s="32"/>
      <c r="E175" s="41"/>
      <c r="F175" s="44"/>
      <c r="G175" s="29"/>
      <c r="H175" s="29"/>
    </row>
  </sheetData>
  <mergeCells count="168">
    <mergeCell ref="A150:B150"/>
    <mergeCell ref="A151:B151"/>
    <mergeCell ref="A148:B148"/>
    <mergeCell ref="A149:B149"/>
    <mergeCell ref="A146:B146"/>
    <mergeCell ref="A147:B147"/>
    <mergeCell ref="A104:B104"/>
    <mergeCell ref="A144:B144"/>
    <mergeCell ref="A134:B134"/>
    <mergeCell ref="A137:B137"/>
    <mergeCell ref="A138:B138"/>
    <mergeCell ref="A139:B139"/>
    <mergeCell ref="A125:B125"/>
    <mergeCell ref="A135:B135"/>
    <mergeCell ref="A131:B131"/>
    <mergeCell ref="A140:B140"/>
    <mergeCell ref="A145:B145"/>
    <mergeCell ref="A111:B111"/>
    <mergeCell ref="A123:B123"/>
    <mergeCell ref="A121:B121"/>
    <mergeCell ref="A129:B129"/>
    <mergeCell ref="A105:B105"/>
    <mergeCell ref="A118:B118"/>
    <mergeCell ref="A128:B128"/>
    <mergeCell ref="A170:H170"/>
    <mergeCell ref="A171:H171"/>
    <mergeCell ref="A165:H165"/>
    <mergeCell ref="A169:H169"/>
    <mergeCell ref="C163:F163"/>
    <mergeCell ref="A155:H155"/>
    <mergeCell ref="A159:B159"/>
    <mergeCell ref="C159:F159"/>
    <mergeCell ref="G159:H159"/>
    <mergeCell ref="A143:B143"/>
    <mergeCell ref="A26:B26"/>
    <mergeCell ref="A19:B19"/>
    <mergeCell ref="A20:B20"/>
    <mergeCell ref="A21:B21"/>
    <mergeCell ref="A130:B130"/>
    <mergeCell ref="A132:B132"/>
    <mergeCell ref="A119:B119"/>
    <mergeCell ref="A27:B27"/>
    <mergeCell ref="A31:B31"/>
    <mergeCell ref="A32:B32"/>
    <mergeCell ref="A28:B28"/>
    <mergeCell ref="A1:H1"/>
    <mergeCell ref="A3:B3"/>
    <mergeCell ref="A5:B5"/>
    <mergeCell ref="A4:B4"/>
    <mergeCell ref="A6:B6"/>
    <mergeCell ref="A7:B7"/>
    <mergeCell ref="E2:H2"/>
    <mergeCell ref="A2:D2"/>
    <mergeCell ref="A167:H167"/>
    <mergeCell ref="G163:H163"/>
    <mergeCell ref="A157:B157"/>
    <mergeCell ref="C157:F157"/>
    <mergeCell ref="G157:H157"/>
    <mergeCell ref="C160:F160"/>
    <mergeCell ref="G160:H160"/>
    <mergeCell ref="A158:B158"/>
    <mergeCell ref="C158:F158"/>
    <mergeCell ref="G158:H158"/>
    <mergeCell ref="C162:F162"/>
    <mergeCell ref="G162:H162"/>
    <mergeCell ref="A166:H166"/>
    <mergeCell ref="C161:F161"/>
    <mergeCell ref="G161:H161"/>
    <mergeCell ref="A9:G9"/>
    <mergeCell ref="A48:B48"/>
    <mergeCell ref="A49:B49"/>
    <mergeCell ref="A50:B50"/>
    <mergeCell ref="A56:B56"/>
    <mergeCell ref="A57:B57"/>
    <mergeCell ref="A40:B40"/>
    <mergeCell ref="A42:B42"/>
    <mergeCell ref="A43:B43"/>
    <mergeCell ref="A35:B35"/>
    <mergeCell ref="A36:B36"/>
    <mergeCell ref="A41:B41"/>
    <mergeCell ref="A51:B51"/>
    <mergeCell ref="A52:B52"/>
    <mergeCell ref="A53:B53"/>
    <mergeCell ref="A54:B54"/>
    <mergeCell ref="A12:B12"/>
    <mergeCell ref="A13:B13"/>
    <mergeCell ref="A10:B10"/>
    <mergeCell ref="A11:B11"/>
    <mergeCell ref="A14:B14"/>
    <mergeCell ref="A15:B15"/>
    <mergeCell ref="A16:B16"/>
    <mergeCell ref="A24:B24"/>
    <mergeCell ref="A25:B25"/>
    <mergeCell ref="A22:B22"/>
    <mergeCell ref="A23:B23"/>
    <mergeCell ref="A18:B18"/>
    <mergeCell ref="A17:B17"/>
    <mergeCell ref="A33:B33"/>
    <mergeCell ref="A34:B34"/>
    <mergeCell ref="A37:B37"/>
    <mergeCell ref="A38:B38"/>
    <mergeCell ref="A39:B39"/>
    <mergeCell ref="A29:B29"/>
    <mergeCell ref="A30:B30"/>
    <mergeCell ref="A46:B46"/>
    <mergeCell ref="A47:B47"/>
    <mergeCell ref="A44:B44"/>
    <mergeCell ref="A45:B45"/>
    <mergeCell ref="A107:B107"/>
    <mergeCell ref="A106:B106"/>
    <mergeCell ref="A58:B58"/>
    <mergeCell ref="A84:B84"/>
    <mergeCell ref="A85:B85"/>
    <mergeCell ref="A87:B87"/>
    <mergeCell ref="A113:B113"/>
    <mergeCell ref="A96:B96"/>
    <mergeCell ref="A115:B115"/>
    <mergeCell ref="A95:B95"/>
    <mergeCell ref="A89:B89"/>
    <mergeCell ref="A93:B93"/>
    <mergeCell ref="A55:B55"/>
    <mergeCell ref="A61:B61"/>
    <mergeCell ref="A126:B126"/>
    <mergeCell ref="A127:B127"/>
    <mergeCell ref="A136:B136"/>
    <mergeCell ref="A97:B97"/>
    <mergeCell ref="A101:B101"/>
    <mergeCell ref="A102:B102"/>
    <mergeCell ref="A98:B98"/>
    <mergeCell ref="A99:B99"/>
    <mergeCell ref="A90:B90"/>
    <mergeCell ref="A91:B91"/>
    <mergeCell ref="A94:B94"/>
    <mergeCell ref="A100:B100"/>
    <mergeCell ref="A114:B114"/>
    <mergeCell ref="A83:B83"/>
    <mergeCell ref="A133:G133"/>
    <mergeCell ref="A109:B109"/>
    <mergeCell ref="A110:B110"/>
    <mergeCell ref="A103:B103"/>
    <mergeCell ref="A108:B108"/>
    <mergeCell ref="A116:B116"/>
    <mergeCell ref="A117:B117"/>
    <mergeCell ref="A112:B112"/>
    <mergeCell ref="A142:B142"/>
    <mergeCell ref="A152:G152"/>
    <mergeCell ref="A160:B160"/>
    <mergeCell ref="A8:B8"/>
    <mergeCell ref="A75:B75"/>
    <mergeCell ref="A76:B76"/>
    <mergeCell ref="A77:B77"/>
    <mergeCell ref="A78:B78"/>
    <mergeCell ref="A80:B80"/>
    <mergeCell ref="A67:B67"/>
    <mergeCell ref="A68:B68"/>
    <mergeCell ref="A69:B69"/>
    <mergeCell ref="A70:B70"/>
    <mergeCell ref="A71:B71"/>
    <mergeCell ref="A72:B72"/>
    <mergeCell ref="A73:B73"/>
    <mergeCell ref="A66:B66"/>
    <mergeCell ref="A63:B63"/>
    <mergeCell ref="A64:B64"/>
    <mergeCell ref="A59:B59"/>
    <mergeCell ref="A141:B141"/>
    <mergeCell ref="A124:B124"/>
    <mergeCell ref="A122:B122"/>
    <mergeCell ref="A120:B120"/>
  </mergeCells>
  <phoneticPr fontId="15" type="noConversion"/>
  <conditionalFormatting sqref="D6:D8 D12:D13 D16 D18 D20:D21 D24 D32:D34 D36 D38:D39 D41 D49 D66:D73 D87 D110 D115:D118 D120:D121 D123 D125 D127:D128 D130 D132">
    <cfRule type="cellIs" dxfId="16" priority="3717" operator="equal">
      <formula>0</formula>
    </cfRule>
  </conditionalFormatting>
  <conditionalFormatting sqref="D30 D89:D91">
    <cfRule type="cellIs" dxfId="15" priority="51" operator="equal">
      <formula>0</formula>
    </cfRule>
  </conditionalFormatting>
  <conditionalFormatting sqref="D43:D47 D51 D53 D55 D57 D61 D63:D64 D75:D78 D80:D85 D93:D94 D97:D108 D144:D147">
    <cfRule type="cellIs" dxfId="14" priority="1721" operator="equal">
      <formula>0</formula>
    </cfRule>
  </conditionalFormatting>
  <conditionalFormatting sqref="D139">
    <cfRule type="cellIs" dxfId="13" priority="1047" operator="equal">
      <formula>0</formula>
    </cfRule>
  </conditionalFormatting>
  <conditionalFormatting sqref="D141">
    <cfRule type="cellIs" dxfId="12" priority="17" operator="equal">
      <formula>0</formula>
    </cfRule>
  </conditionalFormatting>
  <conditionalFormatting sqref="D149 D151">
    <cfRule type="cellIs" dxfId="11" priority="9" operator="equal">
      <formula>0</formula>
    </cfRule>
  </conditionalFormatting>
  <conditionalFormatting sqref="D136:H136">
    <cfRule type="cellIs" dxfId="10" priority="24" operator="equal">
      <formula>0</formula>
    </cfRule>
  </conditionalFormatting>
  <conditionalFormatting sqref="E6:E8 E12:E13 E16 E18 E20:E21 E24 E30 E32:E34 E36 E38:E39 E41 E43:E47 E49 E51 E53 E55 E57 E61 E63:E64 E66:E73 E75:E78 E80:E85 E87 E89:E91 E93:E94 E97:E108 E110 E115:E118 E120:E121 E123 E125 E127:E128 E130 E132 E139 E141 E144:E147 E149 E151">
    <cfRule type="cellIs" dxfId="9" priority="6532" operator="equal">
      <formula>0</formula>
    </cfRule>
  </conditionalFormatting>
  <conditionalFormatting sqref="H4">
    <cfRule type="cellIs" dxfId="8" priority="841" operator="greaterThan">
      <formula>0</formula>
    </cfRule>
    <cfRule type="cellIs" dxfId="7" priority="842" operator="lessThan">
      <formula>0</formula>
    </cfRule>
    <cfRule type="cellIs" dxfId="6" priority="843" operator="equal">
      <formula>0</formula>
    </cfRule>
  </conditionalFormatting>
  <conditionalFormatting sqref="H10">
    <cfRule type="cellIs" dxfId="5" priority="844" operator="greaterThan">
      <formula>0</formula>
    </cfRule>
    <cfRule type="cellIs" dxfId="4" priority="845" operator="lessThan">
      <formula>0</formula>
    </cfRule>
    <cfRule type="cellIs" dxfId="3" priority="846" operator="equal">
      <formula>0</formula>
    </cfRule>
  </conditionalFormatting>
  <conditionalFormatting sqref="H134">
    <cfRule type="cellIs" dxfId="2" priority="1887" operator="greaterThan">
      <formula>0</formula>
    </cfRule>
    <cfRule type="cellIs" dxfId="1" priority="1895" operator="lessThan">
      <formula>0</formula>
    </cfRule>
    <cfRule type="cellIs" dxfId="0" priority="1897" operator="equal">
      <formula>0</formula>
    </cfRule>
  </conditionalFormatting>
  <dataValidations disablePrompts="1" count="1">
    <dataValidation type="list" allowBlank="1" showInputMessage="1" showErrorMessage="1" sqref="D20:D21 D12:D13 D51 D16 D18 D24 D89:D91 D130 D123 D127:D128 D132 D36 D110 D57 D32:D34 D41 D30 D49 D139 D43:D47 D125 D120:D121 D151 D141 D6:D8 D53 D55 D66:D73 D87 D93:D94 D61 D63:D64 D75:D78 D115:D118 D136:H136 D38:D39 D144:D147 D149 D80:D85 D97:D108" xr:uid="{44F91205-1B5F-4964-BE99-B8AE6D2C2EDE}">
      <formula1>#REF!</formula1>
    </dataValidation>
  </dataValidations>
  <printOptions horizontalCentered="1"/>
  <pageMargins left="0.23622047244094491" right="0.23622047244094491" top="0.74803149606299213" bottom="0.74803149606299213" header="0.31496062992125984" footer="0.31496062992125984"/>
  <pageSetup paperSize="9" fitToHeight="0" orientation="portrait" r:id="rId1"/>
  <headerFooter alignWithMargins="0">
    <oddFooter>Page &amp;P de &amp;N</oddFooter>
  </headerFooter>
  <rowBreaks count="1" manualBreakCount="1">
    <brk id="153"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RENS GENERAL</vt:lpstr>
      <vt:lpstr>DPGF</vt:lpstr>
      <vt:lpstr>DPGF!Impression_des_titres</vt:lpstr>
      <vt:lpstr>DPGF!Zone_d_impression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dc:creator>
  <cp:lastModifiedBy>Utilisateur</cp:lastModifiedBy>
  <cp:lastPrinted>2026-07-09T13:46:31Z</cp:lastPrinted>
  <dcterms:created xsi:type="dcterms:W3CDTF">2004-06-22T14:26:26Z</dcterms:created>
  <dcterms:modified xsi:type="dcterms:W3CDTF">2026-07-09T13:46:59Z</dcterms:modified>
</cp:coreProperties>
</file>