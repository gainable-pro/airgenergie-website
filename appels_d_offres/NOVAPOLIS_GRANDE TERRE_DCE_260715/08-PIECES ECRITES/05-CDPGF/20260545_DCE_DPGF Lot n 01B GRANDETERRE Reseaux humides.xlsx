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E:\PRO310725\DORNE\AUREILLE\DCE\DPGF\"/>
    </mc:Choice>
  </mc:AlternateContent>
  <xr:revisionPtr revIDLastSave="0" documentId="13_ncr:1_{C1A24C44-1B0B-42A7-A0A0-2FD6A282024A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DPGF LOT1B" sheetId="1" r:id="rId1"/>
  </sheets>
  <definedNames>
    <definedName name="_xlnm.Print_Area" localSheetId="0">'DPGF LOT1B'!$A$1:$R$81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K56" i="1" l="1"/>
  <c r="K19" i="1"/>
  <c r="J15" i="1"/>
  <c r="J18" i="1"/>
  <c r="J16" i="1"/>
  <c r="J14" i="1"/>
  <c r="J12" i="1"/>
  <c r="J52" i="1"/>
  <c r="K32" i="1"/>
  <c r="K61" i="1"/>
  <c r="K60" i="1"/>
  <c r="K76" i="1" l="1"/>
  <c r="K53" i="1"/>
  <c r="K54" i="1"/>
  <c r="K31" i="1"/>
  <c r="K5" i="1"/>
  <c r="K55" i="1" l="1"/>
  <c r="K18" i="1" l="1"/>
  <c r="K16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7" i="1"/>
  <c r="K6" i="1"/>
  <c r="K7" i="1"/>
  <c r="K8" i="1"/>
  <c r="K9" i="1"/>
  <c r="K11" i="1"/>
  <c r="K12" i="1"/>
  <c r="K13" i="1"/>
  <c r="K14" i="1"/>
  <c r="K15" i="1"/>
  <c r="K22" i="1"/>
  <c r="K23" i="1"/>
  <c r="K24" i="1"/>
  <c r="K25" i="1"/>
  <c r="K26" i="1"/>
  <c r="K27" i="1"/>
  <c r="K28" i="1"/>
  <c r="K29" i="1"/>
  <c r="K30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4" i="1"/>
  <c r="K78" i="1" l="1"/>
  <c r="K79" i="1"/>
  <c r="K80" i="1" s="1"/>
  <c r="K81" i="1" s="1"/>
</calcChain>
</file>

<file path=xl/sharedStrings.xml><?xml version="1.0" encoding="utf-8"?>
<sst xmlns="http://schemas.openxmlformats.org/spreadsheetml/2006/main" count="183" uniqueCount="127">
  <si>
    <t>QTE</t>
  </si>
  <si>
    <t>ml</t>
  </si>
  <si>
    <t>Frais divers</t>
  </si>
  <si>
    <t>Installations de chantier</t>
  </si>
  <si>
    <t>Grillage avertisseur</t>
  </si>
  <si>
    <t>Total HT 01</t>
  </si>
  <si>
    <t>Assainissement</t>
  </si>
  <si>
    <t>Canalisations PVC CR16</t>
  </si>
  <si>
    <t>a) réseaux EU</t>
  </si>
  <si>
    <t>b) réseaux EP</t>
  </si>
  <si>
    <t>Regard de visite EU préfabriqué</t>
  </si>
  <si>
    <t>Regard de visite EP préfabriqué</t>
  </si>
  <si>
    <t>a) regard à grille</t>
  </si>
  <si>
    <t>a) Ø250</t>
  </si>
  <si>
    <t>Essais</t>
  </si>
  <si>
    <t>Terrassements pour réseaux</t>
  </si>
  <si>
    <t>Détection - Géoréférencement</t>
  </si>
  <si>
    <t xml:space="preserve">Décapage / Rabotage de revêtement </t>
  </si>
  <si>
    <t xml:space="preserve">Implantation - Piquetage - Traçage </t>
  </si>
  <si>
    <t xml:space="preserve">Découpe de revêtement enrobés </t>
  </si>
  <si>
    <t xml:space="preserve">Etude de synthèse / Exécution / DOE </t>
  </si>
  <si>
    <t>Sondages de recherche de canalisations</t>
  </si>
  <si>
    <t xml:space="preserve"> Tranchées</t>
  </si>
  <si>
    <t>Sablon</t>
  </si>
  <si>
    <t>Terrassements ponctuels à l'excavatrice aspiratrice</t>
  </si>
  <si>
    <t>Reconstitution de chaussée</t>
  </si>
  <si>
    <t xml:space="preserve">Remblai en GNT 0/31.5 </t>
  </si>
  <si>
    <t xml:space="preserve"> Evacuation aux décharges</t>
  </si>
  <si>
    <t>Ø200</t>
  </si>
  <si>
    <t>Ø315</t>
  </si>
  <si>
    <t>Ø400</t>
  </si>
  <si>
    <t>regards</t>
  </si>
  <si>
    <t xml:space="preserve"> rehausse pour profondeur &gt; à 1.40 m</t>
  </si>
  <si>
    <t>rehausse pour profondeur &gt; à 1.40 m</t>
  </si>
  <si>
    <t>Ø160</t>
  </si>
  <si>
    <t>Regards à grille EP coulés en place sur réseau existant</t>
  </si>
  <si>
    <t>Regards à grille</t>
  </si>
  <si>
    <t xml:space="preserve">Culotte de branchement EU </t>
  </si>
  <si>
    <t xml:space="preserve">Regards de branchement et pieds de chute EP 30 x 30 </t>
  </si>
  <si>
    <t>Branchement sur regards existants</t>
  </si>
  <si>
    <t xml:space="preserve">Mise en place de regard sur canalisations existantes </t>
  </si>
  <si>
    <t>Caniveau béton polymère</t>
  </si>
  <si>
    <t>02.10</t>
  </si>
  <si>
    <t>Ø250</t>
  </si>
  <si>
    <t>f</t>
  </si>
  <si>
    <t>m3</t>
  </si>
  <si>
    <t>dcm</t>
  </si>
  <si>
    <t>u</t>
  </si>
  <si>
    <t>Tabourets de branchement PVC EU</t>
  </si>
  <si>
    <t>U</t>
  </si>
  <si>
    <t>lot voirie</t>
  </si>
  <si>
    <t>Total HT 02</t>
  </si>
  <si>
    <t>Total HT 03</t>
  </si>
  <si>
    <t>N°</t>
  </si>
  <si>
    <t>PU</t>
  </si>
  <si>
    <t>01.1</t>
  </si>
  <si>
    <t>01.2</t>
  </si>
  <si>
    <t>01.3</t>
  </si>
  <si>
    <t>01.4</t>
  </si>
  <si>
    <t>01.5</t>
  </si>
  <si>
    <t>01.6</t>
  </si>
  <si>
    <t>01.7</t>
  </si>
  <si>
    <t>m2</t>
  </si>
  <si>
    <t>01.8</t>
  </si>
  <si>
    <t>01.9</t>
  </si>
  <si>
    <t>01.10</t>
  </si>
  <si>
    <t>01.11</t>
  </si>
  <si>
    <t>01.12</t>
  </si>
  <si>
    <t>01.13</t>
  </si>
  <si>
    <t>01.14</t>
  </si>
  <si>
    <t>01.15</t>
  </si>
  <si>
    <t>02.1</t>
  </si>
  <si>
    <t>02.2</t>
  </si>
  <si>
    <t>02.3</t>
  </si>
  <si>
    <t>02.4</t>
  </si>
  <si>
    <t>02.5</t>
  </si>
  <si>
    <t>02.6</t>
  </si>
  <si>
    <t>02.7</t>
  </si>
  <si>
    <t>02.8</t>
  </si>
  <si>
    <t>02.9</t>
  </si>
  <si>
    <t>02.11</t>
  </si>
  <si>
    <t>02.12</t>
  </si>
  <si>
    <t>02.13</t>
  </si>
  <si>
    <t>03.1</t>
  </si>
  <si>
    <t>03.2</t>
  </si>
  <si>
    <t>03.3</t>
  </si>
  <si>
    <t>03.4</t>
  </si>
  <si>
    <t>03.5</t>
  </si>
  <si>
    <t>03.6</t>
  </si>
  <si>
    <t>03.7</t>
  </si>
  <si>
    <t>03.8</t>
  </si>
  <si>
    <t>03.9</t>
  </si>
  <si>
    <t>03.14</t>
  </si>
  <si>
    <r>
      <rPr>
        <b/>
        <sz val="9"/>
        <rFont val="Times New Roman"/>
        <family val="1"/>
      </rPr>
      <t>LOT</t>
    </r>
    <r>
      <rPr>
        <sz val="9"/>
        <rFont val="Times New Roman"/>
        <family val="1"/>
      </rPr>
      <t xml:space="preserve"> </t>
    </r>
    <r>
      <rPr>
        <b/>
        <sz val="9"/>
        <rFont val="Times New Roman"/>
        <family val="1"/>
      </rPr>
      <t>01B</t>
    </r>
    <r>
      <rPr>
        <sz val="9"/>
        <rFont val="Times New Roman"/>
        <family val="1"/>
      </rPr>
      <t xml:space="preserve"> </t>
    </r>
    <r>
      <rPr>
        <b/>
        <sz val="9"/>
        <rFont val="Times New Roman"/>
        <family val="1"/>
      </rPr>
      <t>-</t>
    </r>
    <r>
      <rPr>
        <sz val="9"/>
        <rFont val="Times New Roman"/>
        <family val="1"/>
      </rPr>
      <t xml:space="preserve"> </t>
    </r>
    <r>
      <rPr>
        <b/>
        <sz val="9"/>
        <rFont val="Times New Roman"/>
        <family val="1"/>
      </rPr>
      <t>Réseaux</t>
    </r>
    <r>
      <rPr>
        <sz val="9"/>
        <rFont val="Times New Roman"/>
        <family val="1"/>
      </rPr>
      <t xml:space="preserve"> </t>
    </r>
    <r>
      <rPr>
        <b/>
        <sz val="9"/>
        <rFont val="Times New Roman"/>
        <family val="1"/>
      </rPr>
      <t>humides</t>
    </r>
  </si>
  <si>
    <r>
      <rPr>
        <b/>
        <sz val="9"/>
        <rFont val="Times New Roman"/>
        <family val="1"/>
      </rPr>
      <t>Montant</t>
    </r>
    <r>
      <rPr>
        <sz val="9"/>
        <rFont val="Times New Roman"/>
        <family val="1"/>
      </rPr>
      <t xml:space="preserve"> </t>
    </r>
    <r>
      <rPr>
        <b/>
        <sz val="9"/>
        <rFont val="Times New Roman"/>
        <family val="1"/>
      </rPr>
      <t>H.T.</t>
    </r>
  </si>
  <si>
    <r>
      <rPr>
        <b/>
        <sz val="9"/>
        <rFont val="Times New Roman"/>
        <family val="1"/>
      </rPr>
      <t>Distribution</t>
    </r>
    <r>
      <rPr>
        <sz val="9"/>
        <rFont val="Times New Roman"/>
        <family val="1"/>
      </rPr>
      <t xml:space="preserve"> </t>
    </r>
    <r>
      <rPr>
        <b/>
        <sz val="9"/>
        <rFont val="Times New Roman"/>
        <family val="1"/>
      </rPr>
      <t>d'eau</t>
    </r>
  </si>
  <si>
    <r>
      <rPr>
        <sz val="9"/>
        <rFont val="Times New Roman"/>
        <family val="1"/>
      </rPr>
      <t>Canalisation fonte PFA16</t>
    </r>
  </si>
  <si>
    <r>
      <rPr>
        <sz val="9"/>
        <rFont val="Times New Roman"/>
        <family val="1"/>
      </rPr>
      <t>Fourreau polyéthylène</t>
    </r>
  </si>
  <si>
    <r>
      <rPr>
        <sz val="9"/>
        <rFont val="Times New Roman"/>
        <family val="1"/>
      </rPr>
      <t>Canalisations AEP polyéthylène HD</t>
    </r>
  </si>
  <si>
    <r>
      <rPr>
        <sz val="9"/>
        <rFont val="Times New Roman"/>
        <family val="1"/>
      </rPr>
      <t>Robinets vannes</t>
    </r>
  </si>
  <si>
    <r>
      <rPr>
        <sz val="9"/>
        <rFont val="Times New Roman"/>
        <family val="1"/>
      </rPr>
      <t>Dispositif de branchement</t>
    </r>
  </si>
  <si>
    <r>
      <rPr>
        <sz val="9"/>
        <rFont val="Times New Roman"/>
        <family val="1"/>
      </rPr>
      <t>a) Ø32 pour tous les branchements</t>
    </r>
  </si>
  <si>
    <r>
      <rPr>
        <sz val="9"/>
        <rFont val="Times New Roman"/>
        <family val="1"/>
      </rPr>
      <t>Ventouse automatique dans regard</t>
    </r>
  </si>
  <si>
    <r>
      <rPr>
        <sz val="9"/>
        <rFont val="Times New Roman"/>
        <family val="1"/>
      </rPr>
      <t>Raccordement sur conduites existantes</t>
    </r>
  </si>
  <si>
    <r>
      <rPr>
        <sz val="9"/>
        <rFont val="Times New Roman"/>
        <family val="1"/>
      </rPr>
      <t>Coffret de comptage</t>
    </r>
  </si>
  <si>
    <r>
      <rPr>
        <sz val="9"/>
        <rFont val="Times New Roman"/>
        <family val="1"/>
      </rPr>
      <t>Fosse de comptage</t>
    </r>
  </si>
  <si>
    <r>
      <rPr>
        <b/>
        <sz val="9"/>
        <rFont val="Times New Roman"/>
        <family val="1"/>
      </rPr>
      <t>Montant</t>
    </r>
    <r>
      <rPr>
        <sz val="9"/>
        <rFont val="Times New Roman"/>
        <family val="1"/>
      </rPr>
      <t xml:space="preserve"> </t>
    </r>
    <r>
      <rPr>
        <b/>
        <sz val="9"/>
        <rFont val="Times New Roman"/>
        <family val="1"/>
      </rPr>
      <t>HT</t>
    </r>
    <r>
      <rPr>
        <sz val="9"/>
        <rFont val="Times New Roman"/>
        <family val="1"/>
      </rPr>
      <t xml:space="preserve"> </t>
    </r>
    <r>
      <rPr>
        <b/>
        <sz val="9"/>
        <rFont val="Times New Roman"/>
        <family val="1"/>
      </rPr>
      <t>LOT</t>
    </r>
    <r>
      <rPr>
        <sz val="9"/>
        <rFont val="Times New Roman"/>
        <family val="1"/>
      </rPr>
      <t xml:space="preserve"> </t>
    </r>
    <r>
      <rPr>
        <b/>
        <sz val="9"/>
        <rFont val="Times New Roman"/>
        <family val="1"/>
      </rPr>
      <t>N°</t>
    </r>
    <r>
      <rPr>
        <sz val="9"/>
        <rFont val="Times New Roman"/>
        <family val="1"/>
      </rPr>
      <t xml:space="preserve"> </t>
    </r>
    <r>
      <rPr>
        <b/>
        <sz val="9"/>
        <rFont val="Times New Roman"/>
        <family val="1"/>
      </rPr>
      <t>01B</t>
    </r>
  </si>
  <si>
    <r>
      <rPr>
        <sz val="9"/>
        <rFont val="Times New Roman"/>
        <family val="1"/>
      </rPr>
      <t>TVA 20 %</t>
    </r>
  </si>
  <si>
    <r>
      <rPr>
        <b/>
        <sz val="9"/>
        <rFont val="Times New Roman"/>
        <family val="1"/>
      </rPr>
      <t>Montant</t>
    </r>
    <r>
      <rPr>
        <sz val="9"/>
        <rFont val="Times New Roman"/>
        <family val="1"/>
      </rPr>
      <t xml:space="preserve"> </t>
    </r>
    <r>
      <rPr>
        <b/>
        <sz val="9"/>
        <rFont val="Times New Roman"/>
        <family val="1"/>
      </rPr>
      <t>T.T.C.</t>
    </r>
    <r>
      <rPr>
        <sz val="9"/>
        <rFont val="Times New Roman"/>
        <family val="1"/>
      </rPr>
      <t xml:space="preserve"> </t>
    </r>
    <r>
      <rPr>
        <b/>
        <sz val="9"/>
        <rFont val="Times New Roman"/>
        <family val="1"/>
      </rPr>
      <t>LOT</t>
    </r>
    <r>
      <rPr>
        <sz val="9"/>
        <rFont val="Times New Roman"/>
        <family val="1"/>
      </rPr>
      <t xml:space="preserve"> </t>
    </r>
    <r>
      <rPr>
        <b/>
        <sz val="9"/>
        <rFont val="Times New Roman"/>
        <family val="1"/>
      </rPr>
      <t>N°</t>
    </r>
    <r>
      <rPr>
        <sz val="9"/>
        <rFont val="Times New Roman"/>
        <family val="1"/>
      </rPr>
      <t xml:space="preserve"> </t>
    </r>
    <r>
      <rPr>
        <b/>
        <sz val="9"/>
        <rFont val="Times New Roman"/>
        <family val="1"/>
      </rPr>
      <t>01B</t>
    </r>
  </si>
  <si>
    <t>02.14</t>
  </si>
  <si>
    <t>Regards à grille 100 x 100 EP surverse baasin</t>
  </si>
  <si>
    <t xml:space="preserve">regards  30x30 équipés de tampon beton </t>
  </si>
  <si>
    <t xml:space="preserve"> regards 30x30  équipés de tampons fonte</t>
  </si>
  <si>
    <t>a) Caniveau 15x15 à grille</t>
  </si>
  <si>
    <t>a) Caniveau 25x25 à grille</t>
  </si>
  <si>
    <t>03.10</t>
  </si>
  <si>
    <t>Bassins infiltration type BALLAST+ouvrages surverse et decantations</t>
  </si>
  <si>
    <t>a) section Ø150</t>
  </si>
  <si>
    <t>b) section Ø100</t>
  </si>
  <si>
    <t>a) section Ø63 pour Ø32</t>
  </si>
  <si>
    <t>b) section Ø50 pour Ø40 pour arrsoage</t>
  </si>
  <si>
    <t>a) Ø32 pour raccordement villas</t>
  </si>
  <si>
    <t>b) Ø40  pour raccordement arrosage arbres</t>
  </si>
  <si>
    <t>Creation Poteau incendie 60m3/h Saphir Choc de Bayard</t>
  </si>
  <si>
    <t>SCCV GRANDE TERRE LOT 1B  RESEAUX HUMIDES estimatif</t>
  </si>
  <si>
    <t>Ø500</t>
  </si>
  <si>
    <t>DÉJÀ DEC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</si>
</sst>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-* #,##0.00\ &quot;€&quot;_-;\-* #,##0.00\ &quot;€&quot;_-;_-* &quot;-&quot;??\ &quot;€&quot;_-;_-@_-"/>
    <numFmt numFmtId="164" formatCode="_-* #,##0.00\ _€_-;\-* #,##0.00\ _€_-;_-* &quot;-&quot;??\ _€_-;_-@_-"/>
    <numFmt numFmtId="165" formatCode="00"/>
    <numFmt numFmtId="166" formatCode="#,##0.00\ &quot;€&quot;"/>
  </numFmts>
  <fonts count="10" x14ac:knownFonts="1">
    <font>
      <sz val="10"/>
      <color rgb="FF000000"/>
      <name val="Times New Roman"/>
      <charset val="204"/>
    </font>
    <font>
      <sz val="10"/>
      <color rgb="FF000000"/>
      <name val="Times New Roman"/>
      <family val="1"/>
    </font>
    <font>
      <sz val="10"/>
      <color rgb="FF000000"/>
      <name val="Times New Roman"/>
      <family val="1"/>
    </font>
    <font>
      <sz val="8.5"/>
      <name val="Times New Roman"/>
      <family val="1"/>
    </font>
    <font>
      <b/>
      <sz val="10"/>
      <color rgb="FF000000"/>
      <name val="Times New Roman"/>
      <family val="1"/>
    </font>
    <font>
      <sz val="9"/>
      <color rgb="FF000000"/>
      <name val="Times New Roman"/>
      <family val="1"/>
    </font>
    <font>
      <sz val="9"/>
      <name val="Times New Roman"/>
      <family val="1"/>
    </font>
    <font>
      <b/>
      <sz val="9"/>
      <color rgb="FF000000"/>
      <name val="Times New Roman"/>
      <family val="1"/>
    </font>
    <font>
      <b/>
      <sz val="9"/>
      <name val="Times New Roman"/>
      <family val="1"/>
    </font>
    <font>
      <b/>
      <u/>
      <sz val="10"/>
      <color rgb="FF00000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3">
    <xf numFmtId="0" fontId="0" fillId="0" borderId="0"/>
    <xf numFmtId="164" fontId="2" fillId="0" borderId="0" applyFont="0" applyFill="0" applyBorder="0" applyAlignment="0" applyProtection="0"/>
    <xf numFmtId="44" fontId="2" fillId="0" borderId="0" applyFont="0" applyFill="0" applyBorder="0" applyAlignment="0" applyProtection="0"/>
  </cellStyleXfs>
  <cellXfs count="92">
    <xf numFmtId="0" fontId="0" fillId="0" borderId="0" xfId="0" applyAlignment="1">
      <alignment horizontal="left" vertical="top"/>
    </xf>
    <xf numFmtId="166" fontId="0" fillId="0" borderId="0" xfId="0" applyNumberFormat="1" applyAlignment="1">
      <alignment horizontal="left" vertical="top"/>
    </xf>
    <xf numFmtId="0" fontId="0" fillId="0" borderId="0" xfId="0" applyAlignment="1">
      <alignment vertical="top" wrapText="1"/>
    </xf>
    <xf numFmtId="0" fontId="4" fillId="0" borderId="0" xfId="0" applyFont="1" applyAlignment="1">
      <alignment horizontal="left" vertical="top"/>
    </xf>
    <xf numFmtId="0" fontId="4" fillId="0" borderId="0" xfId="0" applyFont="1" applyAlignment="1">
      <alignment horizontal="right" vertical="top"/>
    </xf>
    <xf numFmtId="0" fontId="1" fillId="0" borderId="0" xfId="0" applyFont="1" applyAlignment="1">
      <alignment horizontal="left" vertical="top"/>
    </xf>
    <xf numFmtId="0" fontId="1" fillId="0" borderId="0" xfId="0" applyFont="1" applyAlignment="1">
      <alignment horizontal="right" vertical="top"/>
    </xf>
    <xf numFmtId="0" fontId="0" fillId="0" borderId="0" xfId="0" applyAlignment="1">
      <alignment horizontal="right" vertical="top"/>
    </xf>
    <xf numFmtId="0" fontId="0" fillId="0" borderId="0" xfId="0" applyAlignment="1">
      <alignment horizontal="center" vertical="top"/>
    </xf>
    <xf numFmtId="0" fontId="3" fillId="0" borderId="0" xfId="0" applyFont="1" applyAlignment="1">
      <alignment vertical="top" wrapText="1"/>
    </xf>
    <xf numFmtId="0" fontId="7" fillId="0" borderId="5" xfId="0" applyFont="1" applyBorder="1" applyAlignment="1">
      <alignment horizontal="left" vertical="top"/>
    </xf>
    <xf numFmtId="0" fontId="5" fillId="0" borderId="6" xfId="0" applyFont="1" applyBorder="1" applyAlignment="1">
      <alignment vertical="top" wrapText="1"/>
    </xf>
    <xf numFmtId="0" fontId="5" fillId="0" borderId="7" xfId="0" applyFont="1" applyBorder="1" applyAlignment="1">
      <alignment vertical="top" wrapText="1"/>
    </xf>
    <xf numFmtId="166" fontId="5" fillId="0" borderId="8" xfId="0" applyNumberFormat="1" applyFont="1" applyBorder="1" applyAlignment="1">
      <alignment horizontal="left" vertical="top" wrapText="1"/>
    </xf>
    <xf numFmtId="0" fontId="5" fillId="0" borderId="9" xfId="0" applyFont="1" applyBorder="1" applyAlignment="1">
      <alignment horizontal="left" vertical="top"/>
    </xf>
    <xf numFmtId="0" fontId="5" fillId="0" borderId="0" xfId="0" applyFont="1" applyAlignment="1">
      <alignment vertical="top" wrapText="1"/>
    </xf>
    <xf numFmtId="0" fontId="5" fillId="0" borderId="10" xfId="0" applyFont="1" applyBorder="1" applyAlignment="1">
      <alignment vertical="top" wrapText="1"/>
    </xf>
    <xf numFmtId="166" fontId="5" fillId="0" borderId="11" xfId="0" applyNumberFormat="1" applyFont="1" applyBorder="1" applyAlignment="1">
      <alignment horizontal="left" vertical="top" wrapText="1"/>
    </xf>
    <xf numFmtId="0" fontId="5" fillId="0" borderId="11" xfId="0" applyFont="1" applyBorder="1" applyAlignment="1">
      <alignment horizontal="center" vertical="top" wrapText="1"/>
    </xf>
    <xf numFmtId="0" fontId="5" fillId="0" borderId="11" xfId="0" applyFont="1" applyBorder="1" applyAlignment="1">
      <alignment horizontal="left" wrapText="1"/>
    </xf>
    <xf numFmtId="0" fontId="7" fillId="0" borderId="9" xfId="0" applyFont="1" applyBorder="1" applyAlignment="1">
      <alignment horizontal="left" vertical="top"/>
    </xf>
    <xf numFmtId="0" fontId="5" fillId="0" borderId="11" xfId="0" applyFont="1" applyBorder="1" applyAlignment="1">
      <alignment horizontal="left" vertical="center" wrapText="1"/>
    </xf>
    <xf numFmtId="0" fontId="5" fillId="0" borderId="11" xfId="0" applyFont="1" applyBorder="1" applyAlignment="1">
      <alignment horizontal="left" vertical="top"/>
    </xf>
    <xf numFmtId="0" fontId="5" fillId="0" borderId="12" xfId="0" applyFont="1" applyBorder="1" applyAlignment="1">
      <alignment horizontal="left" wrapText="1"/>
    </xf>
    <xf numFmtId="166" fontId="5" fillId="0" borderId="12" xfId="0" applyNumberFormat="1" applyFont="1" applyBorder="1" applyAlignment="1">
      <alignment horizontal="left" vertical="top" wrapText="1"/>
    </xf>
    <xf numFmtId="0" fontId="5" fillId="0" borderId="12" xfId="0" applyFont="1" applyBorder="1" applyAlignment="1">
      <alignment horizontal="center" vertical="top" wrapText="1"/>
    </xf>
    <xf numFmtId="0" fontId="8" fillId="0" borderId="1" xfId="0" applyFont="1" applyBorder="1" applyAlignment="1">
      <alignment horizontal="center" vertical="top" wrapText="1"/>
    </xf>
    <xf numFmtId="166" fontId="8" fillId="0" borderId="1" xfId="0" applyNumberFormat="1" applyFont="1" applyBorder="1" applyAlignment="1">
      <alignment horizontal="center" vertical="top" wrapText="1"/>
    </xf>
    <xf numFmtId="0" fontId="8" fillId="0" borderId="4" xfId="0" applyFont="1" applyBorder="1" applyAlignment="1">
      <alignment horizontal="center" vertical="center" wrapText="1"/>
    </xf>
    <xf numFmtId="165" fontId="7" fillId="0" borderId="8" xfId="0" applyNumberFormat="1" applyFont="1" applyBorder="1" applyAlignment="1">
      <alignment horizontal="center" vertical="top" shrinkToFit="1"/>
    </xf>
    <xf numFmtId="0" fontId="6" fillId="0" borderId="11" xfId="0" applyFont="1" applyBorder="1" applyAlignment="1">
      <alignment horizontal="left" vertical="top" wrapText="1" indent="2"/>
    </xf>
    <xf numFmtId="165" fontId="7" fillId="0" borderId="11" xfId="0" applyNumberFormat="1" applyFont="1" applyBorder="1" applyAlignment="1">
      <alignment horizontal="left" vertical="top" indent="2" shrinkToFit="1"/>
    </xf>
    <xf numFmtId="0" fontId="6" fillId="0" borderId="11" xfId="0" applyFont="1" applyBorder="1" applyAlignment="1">
      <alignment horizontal="center" vertical="top" wrapText="1"/>
    </xf>
    <xf numFmtId="165" fontId="7" fillId="0" borderId="8" xfId="0" applyNumberFormat="1" applyFont="1" applyBorder="1" applyAlignment="1">
      <alignment horizontal="left" vertical="top" indent="2" shrinkToFit="1"/>
    </xf>
    <xf numFmtId="0" fontId="6" fillId="0" borderId="11" xfId="0" applyFont="1" applyBorder="1" applyAlignment="1">
      <alignment horizontal="left" vertical="top" wrapText="1" indent="1"/>
    </xf>
    <xf numFmtId="164" fontId="0" fillId="0" borderId="0" xfId="1" applyFont="1" applyFill="1" applyBorder="1" applyAlignment="1">
      <alignment horizontal="left" vertical="top"/>
    </xf>
    <xf numFmtId="44" fontId="0" fillId="0" borderId="0" xfId="0" applyNumberFormat="1" applyAlignment="1">
      <alignment horizontal="left" vertical="top"/>
    </xf>
    <xf numFmtId="2" fontId="5" fillId="0" borderId="8" xfId="0" applyNumberFormat="1" applyFont="1" applyBorder="1" applyAlignment="1">
      <alignment horizontal="center" vertical="top" wrapText="1"/>
    </xf>
    <xf numFmtId="2" fontId="5" fillId="0" borderId="11" xfId="0" applyNumberFormat="1" applyFont="1" applyBorder="1" applyAlignment="1">
      <alignment horizontal="center" vertical="top" wrapText="1"/>
    </xf>
    <xf numFmtId="2" fontId="5" fillId="0" borderId="12" xfId="0" applyNumberFormat="1" applyFont="1" applyBorder="1" applyAlignment="1">
      <alignment horizontal="center" vertical="top" wrapText="1"/>
    </xf>
    <xf numFmtId="2" fontId="8" fillId="0" borderId="1" xfId="0" applyNumberFormat="1" applyFont="1" applyBorder="1" applyAlignment="1">
      <alignment horizontal="center" vertical="center" wrapText="1"/>
    </xf>
    <xf numFmtId="0" fontId="5" fillId="0" borderId="11" xfId="0" applyFont="1" applyBorder="1" applyAlignment="1">
      <alignment horizontal="center" wrapText="1"/>
    </xf>
    <xf numFmtId="166" fontId="5" fillId="2" borderId="11" xfId="0" applyNumberFormat="1" applyFont="1" applyFill="1" applyBorder="1" applyAlignment="1">
      <alignment horizontal="left" vertical="top" wrapText="1"/>
    </xf>
    <xf numFmtId="2" fontId="5" fillId="2" borderId="11" xfId="0" applyNumberFormat="1" applyFont="1" applyFill="1" applyBorder="1" applyAlignment="1">
      <alignment horizontal="center" vertical="top" wrapText="1"/>
    </xf>
    <xf numFmtId="0" fontId="9" fillId="0" borderId="0" xfId="0" applyFont="1" applyAlignment="1">
      <alignment horizontal="left" vertical="top"/>
    </xf>
    <xf numFmtId="0" fontId="5" fillId="0" borderId="11" xfId="0" applyFont="1" applyBorder="1" applyAlignment="1">
      <alignment horizontal="left" vertical="top" wrapText="1"/>
    </xf>
    <xf numFmtId="0" fontId="5" fillId="0" borderId="11" xfId="0" applyFont="1" applyBorder="1" applyAlignment="1">
      <alignment horizontal="left" wrapText="1"/>
    </xf>
    <xf numFmtId="44" fontId="5" fillId="0" borderId="11" xfId="2" applyFont="1" applyFill="1" applyBorder="1" applyAlignment="1">
      <alignment horizontal="left" wrapText="1"/>
    </xf>
    <xf numFmtId="0" fontId="5" fillId="0" borderId="8" xfId="0" applyFont="1" applyBorder="1" applyAlignment="1">
      <alignment horizontal="left" vertical="top" wrapText="1"/>
    </xf>
    <xf numFmtId="0" fontId="5" fillId="0" borderId="8" xfId="0" applyFont="1" applyBorder="1" applyAlignment="1">
      <alignment horizontal="left" vertical="center" wrapText="1"/>
    </xf>
    <xf numFmtId="44" fontId="5" fillId="0" borderId="8" xfId="2" applyFont="1" applyFill="1" applyBorder="1" applyAlignment="1">
      <alignment horizontal="left" vertical="center" wrapText="1"/>
    </xf>
    <xf numFmtId="0" fontId="6" fillId="0" borderId="11" xfId="0" applyFont="1" applyBorder="1" applyAlignment="1">
      <alignment horizontal="center" vertical="top" wrapText="1"/>
    </xf>
    <xf numFmtId="44" fontId="5" fillId="0" borderId="11" xfId="2" applyFont="1" applyFill="1" applyBorder="1" applyAlignment="1">
      <alignment horizontal="right" vertical="top" shrinkToFit="1"/>
    </xf>
    <xf numFmtId="0" fontId="5" fillId="0" borderId="11" xfId="0" applyFont="1" applyBorder="1" applyAlignment="1">
      <alignment horizontal="right" vertical="top" wrapText="1"/>
    </xf>
    <xf numFmtId="0" fontId="6" fillId="0" borderId="11" xfId="0" applyFont="1" applyBorder="1" applyAlignment="1">
      <alignment horizontal="right" vertical="top" wrapText="1"/>
    </xf>
    <xf numFmtId="0" fontId="5" fillId="0" borderId="12" xfId="0" applyFont="1" applyBorder="1" applyAlignment="1">
      <alignment horizontal="left" vertical="top" wrapText="1"/>
    </xf>
    <xf numFmtId="0" fontId="5" fillId="0" borderId="12" xfId="0" applyFont="1" applyBorder="1" applyAlignment="1">
      <alignment horizontal="left" wrapText="1"/>
    </xf>
    <xf numFmtId="44" fontId="7" fillId="0" borderId="12" xfId="2" applyFont="1" applyFill="1" applyBorder="1" applyAlignment="1">
      <alignment horizontal="right" vertical="top" shrinkToFit="1"/>
    </xf>
    <xf numFmtId="0" fontId="6" fillId="0" borderId="11" xfId="0" applyFont="1" applyBorder="1" applyAlignment="1">
      <alignment horizontal="left" vertical="top" wrapText="1"/>
    </xf>
    <xf numFmtId="0" fontId="7" fillId="0" borderId="11" xfId="0" applyFont="1" applyBorder="1" applyAlignment="1">
      <alignment horizontal="right" vertical="top"/>
    </xf>
    <xf numFmtId="0" fontId="5" fillId="0" borderId="11" xfId="0" applyFont="1" applyBorder="1" applyAlignment="1">
      <alignment horizontal="left" vertical="center" wrapText="1"/>
    </xf>
    <xf numFmtId="44" fontId="7" fillId="0" borderId="11" xfId="2" applyFont="1" applyFill="1" applyBorder="1" applyAlignment="1">
      <alignment horizontal="right" vertical="top" shrinkToFit="1"/>
    </xf>
    <xf numFmtId="44" fontId="7" fillId="0" borderId="11" xfId="2" applyFont="1" applyFill="1" applyBorder="1" applyAlignment="1">
      <alignment horizontal="right" vertical="center" shrinkToFit="1"/>
    </xf>
    <xf numFmtId="0" fontId="5" fillId="0" borderId="1" xfId="0" applyFont="1" applyBorder="1" applyAlignment="1">
      <alignment horizontal="left" vertical="top" wrapText="1" indent="9"/>
    </xf>
    <xf numFmtId="0" fontId="8" fillId="0" borderId="1" xfId="0" applyFont="1" applyBorder="1" applyAlignment="1">
      <alignment horizontal="center" vertical="top" wrapText="1"/>
    </xf>
    <xf numFmtId="0" fontId="5" fillId="0" borderId="1" xfId="0" applyFont="1" applyBorder="1" applyAlignment="1">
      <alignment horizontal="right" vertical="top" wrapText="1"/>
    </xf>
    <xf numFmtId="0" fontId="5" fillId="0" borderId="9" xfId="0" applyFont="1" applyBorder="1" applyAlignment="1">
      <alignment horizontal="right" vertical="top"/>
    </xf>
    <xf numFmtId="0" fontId="5" fillId="0" borderId="0" xfId="0" applyFont="1" applyAlignment="1">
      <alignment horizontal="right" vertical="top"/>
    </xf>
    <xf numFmtId="0" fontId="5" fillId="0" borderId="10" xfId="0" applyFont="1" applyBorder="1" applyAlignment="1">
      <alignment horizontal="right" vertical="top"/>
    </xf>
    <xf numFmtId="0" fontId="5" fillId="0" borderId="9" xfId="0" applyFont="1" applyBorder="1" applyAlignment="1">
      <alignment horizontal="right" vertical="top" wrapText="1"/>
    </xf>
    <xf numFmtId="0" fontId="0" fillId="0" borderId="0" xfId="0" applyAlignment="1">
      <alignment horizontal="right" vertical="top" wrapText="1"/>
    </xf>
    <xf numFmtId="0" fontId="0" fillId="0" borderId="10" xfId="0" applyBorder="1" applyAlignment="1">
      <alignment horizontal="right" vertical="top" wrapText="1"/>
    </xf>
    <xf numFmtId="0" fontId="7" fillId="0" borderId="12" xfId="0" applyFont="1" applyBorder="1" applyAlignment="1">
      <alignment horizontal="right" vertical="top"/>
    </xf>
    <xf numFmtId="0" fontId="5" fillId="0" borderId="2" xfId="0" applyFont="1" applyBorder="1" applyAlignment="1">
      <alignment horizontal="left" vertical="top" wrapText="1" indent="9"/>
    </xf>
    <xf numFmtId="0" fontId="5" fillId="0" borderId="3" xfId="0" applyFont="1" applyBorder="1" applyAlignment="1">
      <alignment horizontal="left" vertical="top" wrapText="1" indent="9"/>
    </xf>
    <xf numFmtId="0" fontId="5" fillId="0" borderId="4" xfId="0" applyFont="1" applyBorder="1" applyAlignment="1">
      <alignment horizontal="left" vertical="top" wrapText="1" indent="9"/>
    </xf>
    <xf numFmtId="0" fontId="8" fillId="0" borderId="2" xfId="0" applyFont="1" applyBorder="1" applyAlignment="1">
      <alignment horizontal="center" vertical="top" wrapText="1"/>
    </xf>
    <xf numFmtId="0" fontId="8" fillId="0" borderId="3" xfId="0" applyFont="1" applyBorder="1" applyAlignment="1">
      <alignment horizontal="center" vertical="top" wrapText="1"/>
    </xf>
    <xf numFmtId="0" fontId="8" fillId="0" borderId="4" xfId="0" applyFont="1" applyBorder="1" applyAlignment="1">
      <alignment horizontal="center" vertical="top" wrapText="1"/>
    </xf>
    <xf numFmtId="0" fontId="5" fillId="0" borderId="2" xfId="0" applyFont="1" applyBorder="1" applyAlignment="1">
      <alignment horizontal="right" vertical="top" wrapText="1"/>
    </xf>
    <xf numFmtId="0" fontId="5" fillId="0" borderId="3" xfId="0" applyFont="1" applyBorder="1" applyAlignment="1">
      <alignment horizontal="right" vertical="top" wrapText="1"/>
    </xf>
    <xf numFmtId="0" fontId="5" fillId="0" borderId="4" xfId="0" applyFont="1" applyBorder="1" applyAlignment="1">
      <alignment horizontal="right" vertical="top" wrapText="1"/>
    </xf>
    <xf numFmtId="0" fontId="5" fillId="0" borderId="8" xfId="0" applyFont="1" applyBorder="1" applyAlignment="1">
      <alignment horizontal="left" wrapText="1"/>
    </xf>
    <xf numFmtId="44" fontId="5" fillId="0" borderId="8" xfId="2" applyFont="1" applyFill="1" applyBorder="1" applyAlignment="1">
      <alignment horizontal="left" wrapText="1"/>
    </xf>
    <xf numFmtId="0" fontId="7" fillId="0" borderId="9" xfId="0" applyFont="1" applyBorder="1" applyAlignment="1">
      <alignment horizontal="right" vertical="top"/>
    </xf>
    <xf numFmtId="0" fontId="7" fillId="0" borderId="0" xfId="0" applyFont="1" applyAlignment="1">
      <alignment horizontal="right" vertical="top"/>
    </xf>
    <xf numFmtId="0" fontId="7" fillId="0" borderId="10" xfId="0" applyFont="1" applyBorder="1" applyAlignment="1">
      <alignment horizontal="right" vertical="top"/>
    </xf>
    <xf numFmtId="0" fontId="5" fillId="2" borderId="9" xfId="0" applyFont="1" applyFill="1" applyBorder="1" applyAlignment="1">
      <alignment horizontal="right" vertical="top"/>
    </xf>
    <xf numFmtId="0" fontId="5" fillId="2" borderId="0" xfId="0" applyFont="1" applyFill="1" applyAlignment="1">
      <alignment horizontal="right" vertical="top"/>
    </xf>
    <xf numFmtId="0" fontId="5" fillId="2" borderId="10" xfId="0" applyFont="1" applyFill="1" applyBorder="1" applyAlignment="1">
      <alignment horizontal="right" vertical="top"/>
    </xf>
    <xf numFmtId="0" fontId="6" fillId="2" borderId="11" xfId="0" applyFont="1" applyFill="1" applyBorder="1" applyAlignment="1">
      <alignment horizontal="center" vertical="top" wrapText="1"/>
    </xf>
    <xf numFmtId="44" fontId="5" fillId="2" borderId="11" xfId="2" applyFont="1" applyFill="1" applyBorder="1" applyAlignment="1">
      <alignment horizontal="right" vertical="top" shrinkToFit="1"/>
    </xf>
  </cellXfs>
  <cellStyles count="3">
    <cellStyle name="Milliers" xfId="1" builtinId="3"/>
    <cellStyle name="Monétaire" xfId="2" builtinId="4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442976</xdr:colOff>
      <xdr:row>1</xdr:row>
      <xdr:rowOff>0</xdr:rowOff>
    </xdr:from>
    <xdr:ext cx="6350" cy="144780"/>
    <xdr:sp macro="" textlink="">
      <xdr:nvSpPr>
        <xdr:cNvPr id="4" name="Shape 4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/>
      </xdr:nvSpPr>
      <xdr:spPr>
        <a:xfrm>
          <a:off x="0" y="0"/>
          <a:ext cx="6350" cy="144780"/>
        </a:xfrm>
        <a:custGeom>
          <a:avLst/>
          <a:gdLst/>
          <a:ahLst/>
          <a:cxnLst/>
          <a:rect l="0" t="0" r="0" b="0"/>
          <a:pathLst>
            <a:path w="6350" h="144780">
              <a:moveTo>
                <a:pt x="6096" y="0"/>
              </a:moveTo>
              <a:lnTo>
                <a:pt x="0" y="0"/>
              </a:lnTo>
              <a:lnTo>
                <a:pt x="0" y="6096"/>
              </a:lnTo>
              <a:lnTo>
                <a:pt x="0" y="144780"/>
              </a:lnTo>
              <a:lnTo>
                <a:pt x="6096" y="144780"/>
              </a:lnTo>
              <a:lnTo>
                <a:pt x="6096" y="6096"/>
              </a:lnTo>
              <a:lnTo>
                <a:pt x="6096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9</xdr:col>
      <xdr:colOff>0</xdr:colOff>
      <xdr:row>1</xdr:row>
      <xdr:rowOff>0</xdr:rowOff>
    </xdr:from>
    <xdr:ext cx="6350" cy="144780"/>
    <xdr:sp macro="" textlink="">
      <xdr:nvSpPr>
        <xdr:cNvPr id="5" name="Shape 5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/>
      </xdr:nvSpPr>
      <xdr:spPr>
        <a:xfrm>
          <a:off x="0" y="0"/>
          <a:ext cx="6350" cy="144780"/>
        </a:xfrm>
        <a:custGeom>
          <a:avLst/>
          <a:gdLst/>
          <a:ahLst/>
          <a:cxnLst/>
          <a:rect l="0" t="0" r="0" b="0"/>
          <a:pathLst>
            <a:path w="6350" h="144780">
              <a:moveTo>
                <a:pt x="6096" y="0"/>
              </a:moveTo>
              <a:lnTo>
                <a:pt x="0" y="0"/>
              </a:lnTo>
              <a:lnTo>
                <a:pt x="0" y="6096"/>
              </a:lnTo>
              <a:lnTo>
                <a:pt x="0" y="144780"/>
              </a:lnTo>
              <a:lnTo>
                <a:pt x="6096" y="144780"/>
              </a:lnTo>
              <a:lnTo>
                <a:pt x="6096" y="6096"/>
              </a:lnTo>
              <a:lnTo>
                <a:pt x="6096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1</xdr:col>
      <xdr:colOff>428244</xdr:colOff>
      <xdr:row>1</xdr:row>
      <xdr:rowOff>0</xdr:rowOff>
    </xdr:from>
    <xdr:ext cx="6350" cy="144780"/>
    <xdr:sp macro="" textlink="">
      <xdr:nvSpPr>
        <xdr:cNvPr id="8" name="Shape 8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/>
      </xdr:nvSpPr>
      <xdr:spPr>
        <a:xfrm>
          <a:off x="0" y="0"/>
          <a:ext cx="6350" cy="144780"/>
        </a:xfrm>
        <a:custGeom>
          <a:avLst/>
          <a:gdLst/>
          <a:ahLst/>
          <a:cxnLst/>
          <a:rect l="0" t="0" r="0" b="0"/>
          <a:pathLst>
            <a:path w="6350" h="144780">
              <a:moveTo>
                <a:pt x="6096" y="0"/>
              </a:moveTo>
              <a:lnTo>
                <a:pt x="0" y="0"/>
              </a:lnTo>
              <a:lnTo>
                <a:pt x="0" y="6096"/>
              </a:lnTo>
              <a:lnTo>
                <a:pt x="0" y="144780"/>
              </a:lnTo>
              <a:lnTo>
                <a:pt x="6096" y="144780"/>
              </a:lnTo>
              <a:lnTo>
                <a:pt x="6096" y="6096"/>
              </a:lnTo>
              <a:lnTo>
                <a:pt x="6096" y="0"/>
              </a:lnTo>
              <a:close/>
            </a:path>
          </a:pathLst>
        </a:custGeom>
        <a:solidFill>
          <a:srgbClr val="000000">
            <a:alpha val="50000"/>
          </a:srgbClr>
        </a:solidFill>
      </xdr:spPr>
    </xdr:sp>
    <xdr:clientData/>
  </xdr:oneCellAnchor>
  <xdr:oneCellAnchor>
    <xdr:from>
      <xdr:col>9</xdr:col>
      <xdr:colOff>0</xdr:colOff>
      <xdr:row>1</xdr:row>
      <xdr:rowOff>0</xdr:rowOff>
    </xdr:from>
    <xdr:ext cx="6350" cy="144780"/>
    <xdr:sp macro="" textlink="">
      <xdr:nvSpPr>
        <xdr:cNvPr id="9" name="Shape 9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0" y="0"/>
          <a:ext cx="6350" cy="144780"/>
        </a:xfrm>
        <a:custGeom>
          <a:avLst/>
          <a:gdLst/>
          <a:ahLst/>
          <a:cxnLst/>
          <a:rect l="0" t="0" r="0" b="0"/>
          <a:pathLst>
            <a:path w="6350" h="144780">
              <a:moveTo>
                <a:pt x="6096" y="0"/>
              </a:moveTo>
              <a:lnTo>
                <a:pt x="0" y="0"/>
              </a:lnTo>
              <a:lnTo>
                <a:pt x="0" y="6096"/>
              </a:lnTo>
              <a:lnTo>
                <a:pt x="0" y="144780"/>
              </a:lnTo>
              <a:lnTo>
                <a:pt x="6096" y="144780"/>
              </a:lnTo>
              <a:lnTo>
                <a:pt x="6096" y="6096"/>
              </a:lnTo>
              <a:lnTo>
                <a:pt x="6096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1</xdr:col>
      <xdr:colOff>428244</xdr:colOff>
      <xdr:row>1</xdr:row>
      <xdr:rowOff>0</xdr:rowOff>
    </xdr:from>
    <xdr:ext cx="6350" cy="144780"/>
    <xdr:sp macro="" textlink="">
      <xdr:nvSpPr>
        <xdr:cNvPr id="12" name="Shape 12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SpPr/>
      </xdr:nvSpPr>
      <xdr:spPr>
        <a:xfrm>
          <a:off x="0" y="0"/>
          <a:ext cx="6350" cy="144780"/>
        </a:xfrm>
        <a:custGeom>
          <a:avLst/>
          <a:gdLst/>
          <a:ahLst/>
          <a:cxnLst/>
          <a:rect l="0" t="0" r="0" b="0"/>
          <a:pathLst>
            <a:path w="6350" h="144780">
              <a:moveTo>
                <a:pt x="6096" y="0"/>
              </a:moveTo>
              <a:lnTo>
                <a:pt x="0" y="0"/>
              </a:lnTo>
              <a:lnTo>
                <a:pt x="0" y="6096"/>
              </a:lnTo>
              <a:lnTo>
                <a:pt x="0" y="144780"/>
              </a:lnTo>
              <a:lnTo>
                <a:pt x="6096" y="144780"/>
              </a:lnTo>
              <a:lnTo>
                <a:pt x="6096" y="6096"/>
              </a:lnTo>
              <a:lnTo>
                <a:pt x="6096" y="0"/>
              </a:lnTo>
              <a:close/>
            </a:path>
          </a:pathLst>
        </a:custGeom>
        <a:solidFill>
          <a:srgbClr val="000000">
            <a:alpha val="50000"/>
          </a:srgbClr>
        </a:solidFill>
      </xdr:spPr>
    </xdr:sp>
    <xdr:clientData/>
  </xdr:oneCellAnchor>
  <xdr:absoluteAnchor>
    <xdr:pos x="4609592" y="2876803"/>
    <xdr:ext cx="6350" cy="144780"/>
    <xdr:sp macro="" textlink="">
      <xdr:nvSpPr>
        <xdr:cNvPr id="13" name="Shape 13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SpPr/>
      </xdr:nvSpPr>
      <xdr:spPr>
        <a:xfrm>
          <a:off x="0" y="0"/>
          <a:ext cx="6350" cy="144780"/>
        </a:xfrm>
        <a:custGeom>
          <a:avLst/>
          <a:gdLst/>
          <a:ahLst/>
          <a:cxnLst/>
          <a:rect l="0" t="0" r="0" b="0"/>
          <a:pathLst>
            <a:path w="6350" h="144780">
              <a:moveTo>
                <a:pt x="6096" y="0"/>
              </a:moveTo>
              <a:lnTo>
                <a:pt x="0" y="0"/>
              </a:lnTo>
              <a:lnTo>
                <a:pt x="0" y="6096"/>
              </a:lnTo>
              <a:lnTo>
                <a:pt x="0" y="144780"/>
              </a:lnTo>
              <a:lnTo>
                <a:pt x="6096" y="144780"/>
              </a:lnTo>
              <a:lnTo>
                <a:pt x="6096" y="6096"/>
              </a:lnTo>
              <a:lnTo>
                <a:pt x="6096" y="0"/>
              </a:lnTo>
              <a:close/>
            </a:path>
          </a:pathLst>
        </a:custGeom>
        <a:solidFill>
          <a:srgbClr val="000000"/>
        </a:solidFill>
      </xdr:spPr>
    </xdr:sp>
    <xdr:clientData/>
  </xdr:absoluteAnchor>
  <xdr:oneCellAnchor>
    <xdr:from>
      <xdr:col>1</xdr:col>
      <xdr:colOff>442976</xdr:colOff>
      <xdr:row>1</xdr:row>
      <xdr:rowOff>0</xdr:rowOff>
    </xdr:from>
    <xdr:ext cx="6350" cy="58419"/>
    <xdr:sp macro="" textlink="">
      <xdr:nvSpPr>
        <xdr:cNvPr id="16" name="Shape 16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/>
      </xdr:nvSpPr>
      <xdr:spPr>
        <a:xfrm>
          <a:off x="0" y="0"/>
          <a:ext cx="6350" cy="58419"/>
        </a:xfrm>
        <a:custGeom>
          <a:avLst/>
          <a:gdLst/>
          <a:ahLst/>
          <a:cxnLst/>
          <a:rect l="0" t="0" r="0" b="0"/>
          <a:pathLst>
            <a:path w="6350" h="58419">
              <a:moveTo>
                <a:pt x="6096" y="0"/>
              </a:moveTo>
              <a:lnTo>
                <a:pt x="0" y="0"/>
              </a:lnTo>
              <a:lnTo>
                <a:pt x="0" y="6096"/>
              </a:lnTo>
              <a:lnTo>
                <a:pt x="0" y="57912"/>
              </a:lnTo>
              <a:lnTo>
                <a:pt x="6096" y="57912"/>
              </a:lnTo>
              <a:lnTo>
                <a:pt x="6096" y="6096"/>
              </a:lnTo>
              <a:lnTo>
                <a:pt x="6096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9</xdr:col>
      <xdr:colOff>0</xdr:colOff>
      <xdr:row>1</xdr:row>
      <xdr:rowOff>0</xdr:rowOff>
    </xdr:from>
    <xdr:ext cx="6350" cy="58419"/>
    <xdr:sp macro="" textlink="">
      <xdr:nvSpPr>
        <xdr:cNvPr id="17" name="Shape 17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SpPr/>
      </xdr:nvSpPr>
      <xdr:spPr>
        <a:xfrm>
          <a:off x="0" y="0"/>
          <a:ext cx="6350" cy="58419"/>
        </a:xfrm>
        <a:custGeom>
          <a:avLst/>
          <a:gdLst/>
          <a:ahLst/>
          <a:cxnLst/>
          <a:rect l="0" t="0" r="0" b="0"/>
          <a:pathLst>
            <a:path w="6350" h="58419">
              <a:moveTo>
                <a:pt x="6096" y="0"/>
              </a:moveTo>
              <a:lnTo>
                <a:pt x="0" y="0"/>
              </a:lnTo>
              <a:lnTo>
                <a:pt x="0" y="6096"/>
              </a:lnTo>
              <a:lnTo>
                <a:pt x="0" y="57912"/>
              </a:lnTo>
              <a:lnTo>
                <a:pt x="6096" y="57912"/>
              </a:lnTo>
              <a:lnTo>
                <a:pt x="6096" y="6096"/>
              </a:lnTo>
              <a:lnTo>
                <a:pt x="6096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1</xdr:col>
      <xdr:colOff>428244</xdr:colOff>
      <xdr:row>1</xdr:row>
      <xdr:rowOff>0</xdr:rowOff>
    </xdr:from>
    <xdr:ext cx="6350" cy="144780"/>
    <xdr:sp macro="" textlink="">
      <xdr:nvSpPr>
        <xdr:cNvPr id="20" name="Shape 20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SpPr/>
      </xdr:nvSpPr>
      <xdr:spPr>
        <a:xfrm>
          <a:off x="0" y="0"/>
          <a:ext cx="6350" cy="144780"/>
        </a:xfrm>
        <a:custGeom>
          <a:avLst/>
          <a:gdLst/>
          <a:ahLst/>
          <a:cxnLst/>
          <a:rect l="0" t="0" r="0" b="0"/>
          <a:pathLst>
            <a:path w="6350" h="144780">
              <a:moveTo>
                <a:pt x="6096" y="0"/>
              </a:moveTo>
              <a:lnTo>
                <a:pt x="0" y="0"/>
              </a:lnTo>
              <a:lnTo>
                <a:pt x="0" y="6096"/>
              </a:lnTo>
              <a:lnTo>
                <a:pt x="0" y="144780"/>
              </a:lnTo>
              <a:lnTo>
                <a:pt x="6096" y="144780"/>
              </a:lnTo>
              <a:lnTo>
                <a:pt x="6096" y="6096"/>
              </a:lnTo>
              <a:lnTo>
                <a:pt x="6096" y="0"/>
              </a:lnTo>
              <a:close/>
            </a:path>
          </a:pathLst>
        </a:custGeom>
        <a:solidFill>
          <a:srgbClr val="000000">
            <a:alpha val="50000"/>
          </a:srgbClr>
        </a:solidFill>
      </xdr:spPr>
    </xdr:sp>
    <xdr:clientData/>
  </xdr:oneCellAnchor>
  <xdr:oneCellAnchor>
    <xdr:from>
      <xdr:col>9</xdr:col>
      <xdr:colOff>0</xdr:colOff>
      <xdr:row>1</xdr:row>
      <xdr:rowOff>0</xdr:rowOff>
    </xdr:from>
    <xdr:ext cx="6350" cy="144780"/>
    <xdr:sp macro="" textlink="">
      <xdr:nvSpPr>
        <xdr:cNvPr id="21" name="Shape 21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SpPr/>
      </xdr:nvSpPr>
      <xdr:spPr>
        <a:xfrm>
          <a:off x="0" y="0"/>
          <a:ext cx="6350" cy="144780"/>
        </a:xfrm>
        <a:custGeom>
          <a:avLst/>
          <a:gdLst/>
          <a:ahLst/>
          <a:cxnLst/>
          <a:rect l="0" t="0" r="0" b="0"/>
          <a:pathLst>
            <a:path w="6350" h="144780">
              <a:moveTo>
                <a:pt x="6096" y="0"/>
              </a:moveTo>
              <a:lnTo>
                <a:pt x="0" y="0"/>
              </a:lnTo>
              <a:lnTo>
                <a:pt x="0" y="6096"/>
              </a:lnTo>
              <a:lnTo>
                <a:pt x="0" y="144780"/>
              </a:lnTo>
              <a:lnTo>
                <a:pt x="6096" y="144780"/>
              </a:lnTo>
              <a:lnTo>
                <a:pt x="6096" y="6096"/>
              </a:lnTo>
              <a:lnTo>
                <a:pt x="6096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1</xdr:col>
      <xdr:colOff>428244</xdr:colOff>
      <xdr:row>1</xdr:row>
      <xdr:rowOff>0</xdr:rowOff>
    </xdr:from>
    <xdr:ext cx="6350" cy="144780"/>
    <xdr:sp macro="" textlink="">
      <xdr:nvSpPr>
        <xdr:cNvPr id="24" name="Shape 24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SpPr/>
      </xdr:nvSpPr>
      <xdr:spPr>
        <a:xfrm>
          <a:off x="0" y="0"/>
          <a:ext cx="6350" cy="144780"/>
        </a:xfrm>
        <a:custGeom>
          <a:avLst/>
          <a:gdLst/>
          <a:ahLst/>
          <a:cxnLst/>
          <a:rect l="0" t="0" r="0" b="0"/>
          <a:pathLst>
            <a:path w="6350" h="144780">
              <a:moveTo>
                <a:pt x="6096" y="0"/>
              </a:moveTo>
              <a:lnTo>
                <a:pt x="0" y="0"/>
              </a:lnTo>
              <a:lnTo>
                <a:pt x="0" y="6096"/>
              </a:lnTo>
              <a:lnTo>
                <a:pt x="0" y="144780"/>
              </a:lnTo>
              <a:lnTo>
                <a:pt x="6096" y="144780"/>
              </a:lnTo>
              <a:lnTo>
                <a:pt x="6096" y="6096"/>
              </a:lnTo>
              <a:lnTo>
                <a:pt x="6096" y="0"/>
              </a:lnTo>
              <a:close/>
            </a:path>
          </a:pathLst>
        </a:custGeom>
        <a:solidFill>
          <a:srgbClr val="000000">
            <a:alpha val="50000"/>
          </a:srgbClr>
        </a:solidFill>
      </xdr:spPr>
    </xdr:sp>
    <xdr:clientData/>
  </xdr:oneCellAnchor>
  <xdr:oneCellAnchor>
    <xdr:from>
      <xdr:col>9</xdr:col>
      <xdr:colOff>0</xdr:colOff>
      <xdr:row>1</xdr:row>
      <xdr:rowOff>0</xdr:rowOff>
    </xdr:from>
    <xdr:ext cx="6350" cy="144780"/>
    <xdr:sp macro="" textlink="">
      <xdr:nvSpPr>
        <xdr:cNvPr id="25" name="Shape 25">
          <a:extLst>
            <a:ext uri="{FF2B5EF4-FFF2-40B4-BE49-F238E27FC236}">
              <a16:creationId xmlns:a16="http://schemas.microsoft.com/office/drawing/2014/main" id="{00000000-0008-0000-0000-000019000000}"/>
            </a:ext>
          </a:extLst>
        </xdr:cNvPr>
        <xdr:cNvSpPr/>
      </xdr:nvSpPr>
      <xdr:spPr>
        <a:xfrm>
          <a:off x="0" y="0"/>
          <a:ext cx="6350" cy="144780"/>
        </a:xfrm>
        <a:custGeom>
          <a:avLst/>
          <a:gdLst/>
          <a:ahLst/>
          <a:cxnLst/>
          <a:rect l="0" t="0" r="0" b="0"/>
          <a:pathLst>
            <a:path w="6350" h="144780">
              <a:moveTo>
                <a:pt x="6096" y="0"/>
              </a:moveTo>
              <a:lnTo>
                <a:pt x="0" y="0"/>
              </a:lnTo>
              <a:lnTo>
                <a:pt x="0" y="6096"/>
              </a:lnTo>
              <a:lnTo>
                <a:pt x="0" y="144780"/>
              </a:lnTo>
              <a:lnTo>
                <a:pt x="6096" y="144780"/>
              </a:lnTo>
              <a:lnTo>
                <a:pt x="6096" y="6096"/>
              </a:lnTo>
              <a:lnTo>
                <a:pt x="6096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15</xdr:col>
      <xdr:colOff>43180</xdr:colOff>
      <xdr:row>1</xdr:row>
      <xdr:rowOff>0</xdr:rowOff>
    </xdr:from>
    <xdr:ext cx="591311" cy="15239"/>
    <xdr:pic>
      <xdr:nvPicPr>
        <xdr:cNvPr id="30" name="image5.png">
          <a:extLst>
            <a:ext uri="{FF2B5EF4-FFF2-40B4-BE49-F238E27FC236}">
              <a16:creationId xmlns:a16="http://schemas.microsoft.com/office/drawing/2014/main" id="{00000000-0008-0000-0000-00001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591311" cy="15239"/>
        </a:xfrm>
        <a:prstGeom prst="rect">
          <a:avLst/>
        </a:prstGeom>
      </xdr:spPr>
    </xdr:pic>
    <xdr:clientData/>
  </xdr:oneCellAnchor>
  <xdr:oneCellAnchor>
    <xdr:from>
      <xdr:col>3</xdr:col>
      <xdr:colOff>637539</xdr:colOff>
      <xdr:row>1</xdr:row>
      <xdr:rowOff>0</xdr:rowOff>
    </xdr:from>
    <xdr:ext cx="711707" cy="7619"/>
    <xdr:pic>
      <xdr:nvPicPr>
        <xdr:cNvPr id="31" name="image6.png">
          <a:extLst>
            <a:ext uri="{FF2B5EF4-FFF2-40B4-BE49-F238E27FC236}">
              <a16:creationId xmlns:a16="http://schemas.microsoft.com/office/drawing/2014/main" id="{00000000-0008-0000-0000-00001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11707" cy="7619"/>
        </a:xfrm>
        <a:prstGeom prst="rect">
          <a:avLst/>
        </a:prstGeom>
      </xdr:spPr>
    </xdr:pic>
    <xdr:clientData/>
  </xdr:oneCellAnchor>
  <xdr:oneCellAnchor>
    <xdr:from>
      <xdr:col>3</xdr:col>
      <xdr:colOff>755904</xdr:colOff>
      <xdr:row>1</xdr:row>
      <xdr:rowOff>0</xdr:rowOff>
    </xdr:from>
    <xdr:ext cx="472439" cy="30479"/>
    <xdr:pic>
      <xdr:nvPicPr>
        <xdr:cNvPr id="33" name="image8.png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472439" cy="30479"/>
        </a:xfrm>
        <a:prstGeom prst="rect">
          <a:avLst/>
        </a:prstGeom>
      </xdr:spPr>
    </xdr:pic>
    <xdr:clientData/>
  </xdr:oneCellAnchor>
  <xdr:oneCellAnchor>
    <xdr:from>
      <xdr:col>9</xdr:col>
      <xdr:colOff>482092</xdr:colOff>
      <xdr:row>1</xdr:row>
      <xdr:rowOff>0</xdr:rowOff>
    </xdr:from>
    <xdr:ext cx="6350" cy="144780"/>
    <xdr:sp macro="" textlink="">
      <xdr:nvSpPr>
        <xdr:cNvPr id="40" name="Shape 5">
          <a:extLst>
            <a:ext uri="{FF2B5EF4-FFF2-40B4-BE49-F238E27FC236}">
              <a16:creationId xmlns:a16="http://schemas.microsoft.com/office/drawing/2014/main" id="{8825DE07-65E1-4FB4-8063-2787D5F110B0}"/>
            </a:ext>
          </a:extLst>
        </xdr:cNvPr>
        <xdr:cNvSpPr/>
      </xdr:nvSpPr>
      <xdr:spPr>
        <a:xfrm>
          <a:off x="5480812" y="1432560"/>
          <a:ext cx="6350" cy="144780"/>
        </a:xfrm>
        <a:custGeom>
          <a:avLst/>
          <a:gdLst/>
          <a:ahLst/>
          <a:cxnLst/>
          <a:rect l="0" t="0" r="0" b="0"/>
          <a:pathLst>
            <a:path w="6350" h="144780">
              <a:moveTo>
                <a:pt x="6096" y="0"/>
              </a:moveTo>
              <a:lnTo>
                <a:pt x="0" y="0"/>
              </a:lnTo>
              <a:lnTo>
                <a:pt x="0" y="6096"/>
              </a:lnTo>
              <a:lnTo>
                <a:pt x="0" y="144780"/>
              </a:lnTo>
              <a:lnTo>
                <a:pt x="6096" y="144780"/>
              </a:lnTo>
              <a:lnTo>
                <a:pt x="6096" y="6096"/>
              </a:lnTo>
              <a:lnTo>
                <a:pt x="6096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81"/>
  <sheetViews>
    <sheetView tabSelected="1" view="pageBreakPreview" topLeftCell="A72" zoomScale="115" zoomScaleNormal="100" zoomScaleSheetLayoutView="115" workbookViewId="0">
      <selection activeCell="K57" sqref="K57:M57"/>
    </sheetView>
  </sheetViews>
  <sheetFormatPr baseColWidth="10" defaultColWidth="8.8984375" defaultRowHeight="13" x14ac:dyDescent="0.3"/>
  <cols>
    <col min="1" max="1" width="10.3984375" customWidth="1"/>
    <col min="2" max="2" width="8" customWidth="1"/>
    <col min="3" max="3" width="17.296875" customWidth="1"/>
    <col min="4" max="4" width="16.19921875" customWidth="1"/>
    <col min="5" max="5" width="12.69921875" customWidth="1"/>
    <col min="6" max="6" width="2.19921875" customWidth="1"/>
    <col min="7" max="8" width="1.09765625" customWidth="1"/>
    <col min="9" max="9" width="11.59765625" style="1" customWidth="1"/>
    <col min="10" max="10" width="8" style="8" customWidth="1"/>
    <col min="11" max="11" width="2.19921875" style="35" customWidth="1"/>
    <col min="12" max="12" width="5.796875" style="35" customWidth="1"/>
    <col min="13" max="13" width="4.69921875" style="35" customWidth="1"/>
    <col min="14" max="14" width="2.19921875" customWidth="1"/>
    <col min="15" max="15" width="7.8984375" customWidth="1"/>
    <col min="16" max="16" width="3.296875" customWidth="1"/>
    <col min="17" max="17" width="8.8984375" customWidth="1"/>
    <col min="18" max="18" width="8.8984375" hidden="1" customWidth="1"/>
    <col min="26" max="26" width="46" customWidth="1"/>
  </cols>
  <sheetData>
    <row r="1" spans="1:26" ht="22.5" customHeight="1" x14ac:dyDescent="0.3">
      <c r="B1" s="44" t="s">
        <v>124</v>
      </c>
    </row>
    <row r="2" spans="1:26" ht="22" customHeight="1" x14ac:dyDescent="0.3">
      <c r="A2" s="26" t="s">
        <v>53</v>
      </c>
      <c r="B2" s="73" t="s">
        <v>93</v>
      </c>
      <c r="C2" s="74"/>
      <c r="D2" s="74"/>
      <c r="E2" s="75"/>
      <c r="F2" s="76" t="s">
        <v>49</v>
      </c>
      <c r="G2" s="77"/>
      <c r="H2" s="78"/>
      <c r="I2" s="27" t="s">
        <v>54</v>
      </c>
      <c r="J2" s="28" t="s">
        <v>0</v>
      </c>
      <c r="K2" s="79" t="s">
        <v>94</v>
      </c>
      <c r="L2" s="80"/>
      <c r="M2" s="81"/>
    </row>
    <row r="3" spans="1:26" ht="16" customHeight="1" x14ac:dyDescent="0.25">
      <c r="A3" s="29">
        <v>1</v>
      </c>
      <c r="B3" s="10" t="s">
        <v>15</v>
      </c>
      <c r="C3" s="11"/>
      <c r="D3" s="11"/>
      <c r="E3" s="12"/>
      <c r="F3" s="82"/>
      <c r="G3" s="82"/>
      <c r="H3" s="82"/>
      <c r="I3" s="13"/>
      <c r="J3" s="37"/>
      <c r="K3" s="83"/>
      <c r="L3" s="83"/>
      <c r="M3" s="83"/>
    </row>
    <row r="4" spans="1:26" ht="14" customHeight="1" x14ac:dyDescent="0.3">
      <c r="A4" s="30" t="s">
        <v>55</v>
      </c>
      <c r="B4" s="14" t="s">
        <v>2</v>
      </c>
      <c r="C4" s="15"/>
      <c r="D4" s="15"/>
      <c r="E4" s="16"/>
      <c r="F4" s="51" t="s">
        <v>44</v>
      </c>
      <c r="G4" s="51"/>
      <c r="H4" s="51"/>
      <c r="I4" s="17"/>
      <c r="J4" s="38">
        <v>1</v>
      </c>
      <c r="K4" s="52">
        <f>I4*J4</f>
        <v>0</v>
      </c>
      <c r="L4" s="52"/>
      <c r="M4" s="52"/>
      <c r="T4" s="9"/>
      <c r="U4" s="2"/>
      <c r="V4" s="2"/>
      <c r="W4" s="2"/>
      <c r="Z4" s="3"/>
    </row>
    <row r="5" spans="1:26" ht="12.75" customHeight="1" x14ac:dyDescent="0.3">
      <c r="A5" s="30" t="s">
        <v>56</v>
      </c>
      <c r="B5" s="14" t="s">
        <v>3</v>
      </c>
      <c r="C5" s="15"/>
      <c r="D5" s="15"/>
      <c r="E5" s="16"/>
      <c r="F5" s="51" t="s">
        <v>44</v>
      </c>
      <c r="G5" s="51"/>
      <c r="H5" s="51"/>
      <c r="I5" s="17"/>
      <c r="J5" s="38">
        <v>1</v>
      </c>
      <c r="K5" s="52">
        <f>I5*J5</f>
        <v>0</v>
      </c>
      <c r="L5" s="52"/>
      <c r="M5" s="52"/>
      <c r="T5" s="2"/>
      <c r="U5" s="2"/>
      <c r="V5" s="2"/>
      <c r="W5" s="2"/>
    </row>
    <row r="6" spans="1:26" ht="13" customHeight="1" x14ac:dyDescent="0.3">
      <c r="A6" s="30" t="s">
        <v>57</v>
      </c>
      <c r="B6" s="14" t="s">
        <v>20</v>
      </c>
      <c r="C6" s="15"/>
      <c r="D6" s="15"/>
      <c r="E6" s="16"/>
      <c r="F6" s="51" t="s">
        <v>44</v>
      </c>
      <c r="G6" s="51"/>
      <c r="H6" s="51"/>
      <c r="I6" s="17"/>
      <c r="J6" s="38">
        <v>1</v>
      </c>
      <c r="K6" s="52">
        <f t="shared" ref="K6:K52" si="0">I6*J6</f>
        <v>0</v>
      </c>
      <c r="L6" s="52"/>
      <c r="M6" s="52"/>
      <c r="T6" s="2"/>
      <c r="U6" s="2"/>
      <c r="V6" s="2"/>
      <c r="W6" s="2"/>
    </row>
    <row r="7" spans="1:26" ht="13" customHeight="1" x14ac:dyDescent="0.3">
      <c r="A7" s="30" t="s">
        <v>58</v>
      </c>
      <c r="B7" s="14" t="s">
        <v>18</v>
      </c>
      <c r="C7" s="15"/>
      <c r="D7" s="15"/>
      <c r="E7" s="16"/>
      <c r="F7" s="51" t="s">
        <v>44</v>
      </c>
      <c r="G7" s="51"/>
      <c r="H7" s="51"/>
      <c r="I7" s="17"/>
      <c r="J7" s="38">
        <v>1</v>
      </c>
      <c r="K7" s="52">
        <f t="shared" si="0"/>
        <v>0</v>
      </c>
      <c r="L7" s="52"/>
      <c r="M7" s="52"/>
      <c r="T7" s="2"/>
      <c r="U7" s="2"/>
      <c r="V7" s="2"/>
      <c r="W7" s="2"/>
    </row>
    <row r="8" spans="1:26" ht="13" customHeight="1" x14ac:dyDescent="0.3">
      <c r="A8" s="30" t="s">
        <v>59</v>
      </c>
      <c r="B8" s="14" t="s">
        <v>16</v>
      </c>
      <c r="C8" s="15"/>
      <c r="D8" s="15"/>
      <c r="E8" s="16"/>
      <c r="F8" s="51" t="s">
        <v>44</v>
      </c>
      <c r="G8" s="51"/>
      <c r="H8" s="51"/>
      <c r="I8" s="17"/>
      <c r="J8" s="38">
        <v>1</v>
      </c>
      <c r="K8" s="52">
        <f t="shared" si="0"/>
        <v>0</v>
      </c>
      <c r="L8" s="52"/>
      <c r="M8" s="52"/>
      <c r="T8" s="2"/>
      <c r="U8" s="2"/>
      <c r="V8" s="2"/>
      <c r="W8" s="2"/>
    </row>
    <row r="9" spans="1:26" ht="13" customHeight="1" x14ac:dyDescent="0.3">
      <c r="A9" s="30" t="s">
        <v>60</v>
      </c>
      <c r="B9" s="14" t="s">
        <v>19</v>
      </c>
      <c r="C9" s="15"/>
      <c r="D9" s="15"/>
      <c r="E9" s="16"/>
      <c r="F9" s="51" t="s">
        <v>1</v>
      </c>
      <c r="G9" s="51"/>
      <c r="H9" s="51"/>
      <c r="I9" s="17"/>
      <c r="J9" s="38">
        <v>25</v>
      </c>
      <c r="K9" s="52">
        <f t="shared" si="0"/>
        <v>0</v>
      </c>
      <c r="L9" s="52"/>
      <c r="M9" s="52"/>
      <c r="T9" s="2"/>
      <c r="U9" s="2"/>
      <c r="V9" s="2"/>
      <c r="W9" s="2"/>
    </row>
    <row r="10" spans="1:26" ht="13" customHeight="1" x14ac:dyDescent="0.3">
      <c r="A10" s="30" t="s">
        <v>61</v>
      </c>
      <c r="B10" s="14" t="s">
        <v>17</v>
      </c>
      <c r="C10" s="15"/>
      <c r="D10" s="15"/>
      <c r="E10" s="16"/>
      <c r="F10" s="51" t="s">
        <v>62</v>
      </c>
      <c r="G10" s="51"/>
      <c r="H10" s="51"/>
      <c r="I10" s="17"/>
      <c r="J10" s="38"/>
      <c r="K10" s="52" t="s">
        <v>50</v>
      </c>
      <c r="L10" s="52"/>
      <c r="M10" s="52"/>
      <c r="T10" s="2"/>
      <c r="U10" s="2"/>
      <c r="V10" s="2"/>
      <c r="W10" s="2"/>
    </row>
    <row r="11" spans="1:26" ht="12.75" customHeight="1" x14ac:dyDescent="0.3">
      <c r="A11" s="30" t="s">
        <v>63</v>
      </c>
      <c r="B11" s="14" t="s">
        <v>21</v>
      </c>
      <c r="C11" s="15"/>
      <c r="D11" s="15"/>
      <c r="E11" s="16"/>
      <c r="F11" s="51" t="s">
        <v>44</v>
      </c>
      <c r="G11" s="51"/>
      <c r="H11" s="51"/>
      <c r="I11" s="17"/>
      <c r="J11" s="38">
        <v>1</v>
      </c>
      <c r="K11" s="52">
        <f t="shared" si="0"/>
        <v>0</v>
      </c>
      <c r="L11" s="52"/>
      <c r="M11" s="52"/>
      <c r="T11" s="2"/>
      <c r="U11" s="2"/>
      <c r="V11" s="2"/>
      <c r="W11" s="2"/>
    </row>
    <row r="12" spans="1:26" ht="13" customHeight="1" x14ac:dyDescent="0.3">
      <c r="A12" s="30" t="s">
        <v>64</v>
      </c>
      <c r="B12" s="14" t="s">
        <v>22</v>
      </c>
      <c r="C12" s="15"/>
      <c r="D12" s="15"/>
      <c r="E12" s="16"/>
      <c r="F12" s="51" t="s">
        <v>45</v>
      </c>
      <c r="G12" s="51"/>
      <c r="H12" s="51"/>
      <c r="I12" s="17"/>
      <c r="J12" s="38">
        <f>SUM(J27:J32)*1*1.5</f>
        <v>690</v>
      </c>
      <c r="K12" s="52">
        <f t="shared" si="0"/>
        <v>0</v>
      </c>
      <c r="L12" s="52"/>
      <c r="M12" s="52"/>
      <c r="T12" s="2"/>
      <c r="U12" s="2"/>
      <c r="V12" s="2"/>
      <c r="W12" s="2"/>
    </row>
    <row r="13" spans="1:26" ht="13" customHeight="1" x14ac:dyDescent="0.3">
      <c r="A13" s="30" t="s">
        <v>65</v>
      </c>
      <c r="B13" s="14" t="s">
        <v>24</v>
      </c>
      <c r="C13" s="15"/>
      <c r="D13" s="15"/>
      <c r="E13" s="16"/>
      <c r="F13" s="51" t="s">
        <v>45</v>
      </c>
      <c r="G13" s="51"/>
      <c r="H13" s="51"/>
      <c r="I13" s="17"/>
      <c r="J13" s="38">
        <v>34</v>
      </c>
      <c r="K13" s="52">
        <f t="shared" si="0"/>
        <v>0</v>
      </c>
      <c r="L13" s="52"/>
      <c r="M13" s="52"/>
      <c r="T13" s="2"/>
      <c r="U13" s="2"/>
      <c r="V13" s="2"/>
      <c r="W13" s="2"/>
    </row>
    <row r="14" spans="1:26" ht="12.75" customHeight="1" x14ac:dyDescent="0.3">
      <c r="A14" s="30" t="s">
        <v>66</v>
      </c>
      <c r="B14" s="14" t="s">
        <v>23</v>
      </c>
      <c r="C14" s="15"/>
      <c r="D14" s="15"/>
      <c r="E14" s="16"/>
      <c r="F14" s="51" t="s">
        <v>45</v>
      </c>
      <c r="G14" s="51"/>
      <c r="H14" s="51"/>
      <c r="I14" s="17"/>
      <c r="J14" s="38">
        <f>J12*0.2</f>
        <v>138</v>
      </c>
      <c r="K14" s="52">
        <f t="shared" si="0"/>
        <v>0</v>
      </c>
      <c r="L14" s="52"/>
      <c r="M14" s="52"/>
      <c r="T14" s="2"/>
      <c r="U14" s="2"/>
      <c r="V14" s="2"/>
      <c r="W14" s="2"/>
    </row>
    <row r="15" spans="1:26" ht="12.75" customHeight="1" x14ac:dyDescent="0.3">
      <c r="A15" s="30" t="s">
        <v>67</v>
      </c>
      <c r="B15" s="14" t="s">
        <v>4</v>
      </c>
      <c r="C15" s="15"/>
      <c r="D15" s="15"/>
      <c r="E15" s="16"/>
      <c r="F15" s="51" t="s">
        <v>1</v>
      </c>
      <c r="G15" s="51"/>
      <c r="H15" s="51"/>
      <c r="I15" s="17"/>
      <c r="J15" s="38">
        <f>SUM(J24:J25,J60:J61,J63:J64)</f>
        <v>1204</v>
      </c>
      <c r="K15" s="52">
        <f t="shared" si="0"/>
        <v>0</v>
      </c>
      <c r="L15" s="52"/>
      <c r="M15" s="52"/>
      <c r="T15" s="2"/>
      <c r="U15" s="2"/>
      <c r="V15" s="2"/>
      <c r="W15" s="2"/>
    </row>
    <row r="16" spans="1:26" ht="13" customHeight="1" x14ac:dyDescent="0.3">
      <c r="A16" s="30" t="s">
        <v>68</v>
      </c>
      <c r="B16" s="14" t="s">
        <v>26</v>
      </c>
      <c r="C16" s="15"/>
      <c r="D16" s="15"/>
      <c r="E16" s="16"/>
      <c r="F16" s="51" t="s">
        <v>45</v>
      </c>
      <c r="G16" s="51"/>
      <c r="H16" s="51"/>
      <c r="I16" s="17"/>
      <c r="J16" s="38">
        <f>J12-J14</f>
        <v>552</v>
      </c>
      <c r="K16" s="52">
        <f t="shared" si="0"/>
        <v>0</v>
      </c>
      <c r="L16" s="52"/>
      <c r="M16" s="52"/>
      <c r="T16" s="2"/>
      <c r="U16" s="2"/>
      <c r="V16" s="2"/>
      <c r="W16" s="2"/>
    </row>
    <row r="17" spans="1:26" ht="13" customHeight="1" x14ac:dyDescent="0.3">
      <c r="A17" s="30" t="s">
        <v>69</v>
      </c>
      <c r="B17" s="14" t="s">
        <v>25</v>
      </c>
      <c r="C17" s="15"/>
      <c r="D17" s="15"/>
      <c r="E17" s="16"/>
      <c r="F17" s="51" t="s">
        <v>62</v>
      </c>
      <c r="G17" s="51"/>
      <c r="H17" s="51"/>
      <c r="I17" s="17"/>
      <c r="J17" s="38"/>
      <c r="K17" s="52" t="s">
        <v>50</v>
      </c>
      <c r="L17" s="52"/>
      <c r="M17" s="52"/>
      <c r="T17" s="2"/>
      <c r="U17" s="2"/>
      <c r="V17" s="2"/>
      <c r="W17" s="2"/>
    </row>
    <row r="18" spans="1:26" ht="14" customHeight="1" x14ac:dyDescent="0.3">
      <c r="A18" s="30" t="s">
        <v>70</v>
      </c>
      <c r="B18" s="14" t="s">
        <v>27</v>
      </c>
      <c r="C18" s="15"/>
      <c r="D18" s="15"/>
      <c r="E18" s="16"/>
      <c r="F18" s="51" t="s">
        <v>45</v>
      </c>
      <c r="G18" s="51"/>
      <c r="H18" s="51"/>
      <c r="I18" s="17"/>
      <c r="J18" s="38">
        <f>J12</f>
        <v>690</v>
      </c>
      <c r="K18" s="52">
        <f t="shared" si="0"/>
        <v>0</v>
      </c>
      <c r="L18" s="52"/>
      <c r="M18" s="52"/>
      <c r="T18" s="2"/>
      <c r="U18" s="2"/>
      <c r="V18" s="2"/>
      <c r="W18" s="2"/>
    </row>
    <row r="19" spans="1:26" ht="15" customHeight="1" x14ac:dyDescent="0.25">
      <c r="A19" s="19"/>
      <c r="B19" s="84" t="s">
        <v>5</v>
      </c>
      <c r="C19" s="85"/>
      <c r="D19" s="85"/>
      <c r="E19" s="86"/>
      <c r="F19" s="46"/>
      <c r="G19" s="46"/>
      <c r="H19" s="46"/>
      <c r="I19" s="17"/>
      <c r="J19" s="38"/>
      <c r="K19" s="61">
        <f>+SUM(K4:M18)</f>
        <v>0</v>
      </c>
      <c r="L19" s="61"/>
      <c r="M19" s="61"/>
      <c r="T19" s="2"/>
      <c r="U19" s="2"/>
      <c r="V19" s="2"/>
      <c r="W19" s="2"/>
    </row>
    <row r="20" spans="1:26" ht="16" customHeight="1" x14ac:dyDescent="0.25">
      <c r="A20" s="19"/>
      <c r="B20" s="14"/>
      <c r="C20" s="15"/>
      <c r="D20" s="15"/>
      <c r="E20" s="16"/>
      <c r="F20" s="46"/>
      <c r="G20" s="46"/>
      <c r="H20" s="46"/>
      <c r="I20" s="17"/>
      <c r="J20" s="38"/>
      <c r="K20" s="52"/>
      <c r="L20" s="52"/>
      <c r="M20" s="52"/>
      <c r="T20" s="2"/>
      <c r="U20" s="2"/>
      <c r="V20" s="2"/>
      <c r="W20" s="2"/>
      <c r="Z20" s="4"/>
    </row>
    <row r="21" spans="1:26" ht="20" customHeight="1" x14ac:dyDescent="0.3">
      <c r="A21" s="31">
        <v>2</v>
      </c>
      <c r="B21" s="20" t="s">
        <v>6</v>
      </c>
      <c r="C21" s="15"/>
      <c r="D21" s="15"/>
      <c r="E21" s="16"/>
      <c r="F21" s="60"/>
      <c r="G21" s="60"/>
      <c r="H21" s="60"/>
      <c r="I21" s="17"/>
      <c r="J21" s="38"/>
      <c r="K21" s="52"/>
      <c r="L21" s="52"/>
      <c r="M21" s="52"/>
      <c r="T21" s="2"/>
      <c r="U21" s="2"/>
      <c r="V21" s="2"/>
      <c r="W21" s="2"/>
    </row>
    <row r="22" spans="1:26" ht="19" customHeight="1" x14ac:dyDescent="0.3">
      <c r="A22" s="30" t="s">
        <v>71</v>
      </c>
      <c r="B22" s="14" t="s">
        <v>7</v>
      </c>
      <c r="C22" s="15"/>
      <c r="D22" s="15"/>
      <c r="E22" s="16"/>
      <c r="F22" s="51"/>
      <c r="G22" s="51"/>
      <c r="H22" s="51"/>
      <c r="I22" s="17"/>
      <c r="J22" s="38"/>
      <c r="K22" s="52">
        <f t="shared" si="0"/>
        <v>0</v>
      </c>
      <c r="L22" s="52"/>
      <c r="M22" s="52"/>
      <c r="T22" s="2"/>
      <c r="U22" s="2"/>
      <c r="V22" s="2"/>
      <c r="W22" s="2"/>
      <c r="Z22" s="3"/>
    </row>
    <row r="23" spans="1:26" x14ac:dyDescent="0.3">
      <c r="A23" s="21"/>
      <c r="B23" s="14" t="s">
        <v>8</v>
      </c>
      <c r="C23" s="15"/>
      <c r="D23" s="15"/>
      <c r="E23" s="16"/>
      <c r="F23" s="51"/>
      <c r="G23" s="51"/>
      <c r="H23" s="51"/>
      <c r="I23" s="17"/>
      <c r="J23" s="38"/>
      <c r="K23" s="52">
        <f t="shared" si="0"/>
        <v>0</v>
      </c>
      <c r="L23" s="52"/>
      <c r="M23" s="52"/>
      <c r="T23" s="2"/>
      <c r="U23" s="2"/>
      <c r="V23" s="2"/>
      <c r="W23" s="2"/>
    </row>
    <row r="24" spans="1:26" x14ac:dyDescent="0.3">
      <c r="A24" s="21"/>
      <c r="B24" s="66" t="s">
        <v>34</v>
      </c>
      <c r="C24" s="67"/>
      <c r="D24" s="67"/>
      <c r="E24" s="68"/>
      <c r="F24" s="51" t="s">
        <v>1</v>
      </c>
      <c r="G24" s="51"/>
      <c r="H24" s="51"/>
      <c r="I24" s="17"/>
      <c r="J24" s="38">
        <v>164</v>
      </c>
      <c r="K24" s="52">
        <f t="shared" si="0"/>
        <v>0</v>
      </c>
      <c r="L24" s="52"/>
      <c r="M24" s="52"/>
      <c r="T24" s="2"/>
      <c r="U24" s="2"/>
      <c r="V24" s="2"/>
      <c r="W24" s="2"/>
    </row>
    <row r="25" spans="1:26" ht="12.75" customHeight="1" x14ac:dyDescent="0.3">
      <c r="A25" s="21"/>
      <c r="B25" s="66" t="s">
        <v>28</v>
      </c>
      <c r="C25" s="67"/>
      <c r="D25" s="67"/>
      <c r="E25" s="68"/>
      <c r="F25" s="51" t="s">
        <v>1</v>
      </c>
      <c r="G25" s="51"/>
      <c r="H25" s="51"/>
      <c r="I25" s="17"/>
      <c r="J25" s="38">
        <v>143</v>
      </c>
      <c r="K25" s="52">
        <f t="shared" si="0"/>
        <v>0</v>
      </c>
      <c r="L25" s="52"/>
      <c r="M25" s="52"/>
      <c r="T25" s="2"/>
      <c r="U25" s="2"/>
      <c r="V25" s="2"/>
      <c r="W25" s="2"/>
      <c r="Z25" s="6"/>
    </row>
    <row r="26" spans="1:26" x14ac:dyDescent="0.25">
      <c r="A26" s="19"/>
      <c r="B26" s="14" t="s">
        <v>9</v>
      </c>
      <c r="C26" s="15"/>
      <c r="D26" s="15"/>
      <c r="E26" s="16"/>
      <c r="F26" s="51"/>
      <c r="G26" s="51"/>
      <c r="H26" s="51"/>
      <c r="I26" s="17"/>
      <c r="J26" s="38"/>
      <c r="K26" s="52">
        <f t="shared" si="0"/>
        <v>0</v>
      </c>
      <c r="L26" s="52"/>
      <c r="M26" s="52"/>
      <c r="T26" s="2"/>
      <c r="U26" s="2"/>
      <c r="V26" s="2"/>
      <c r="W26" s="2"/>
      <c r="Z26" s="7"/>
    </row>
    <row r="27" spans="1:26" ht="13" customHeight="1" x14ac:dyDescent="0.25">
      <c r="A27" s="19"/>
      <c r="B27" s="87" t="s">
        <v>34</v>
      </c>
      <c r="C27" s="88"/>
      <c r="D27" s="88"/>
      <c r="E27" s="89"/>
      <c r="F27" s="90" t="s">
        <v>1</v>
      </c>
      <c r="G27" s="90"/>
      <c r="H27" s="90"/>
      <c r="I27" s="42"/>
      <c r="J27" s="43">
        <v>160</v>
      </c>
      <c r="K27" s="91">
        <f t="shared" si="0"/>
        <v>0</v>
      </c>
      <c r="L27" s="91"/>
      <c r="M27" s="91"/>
      <c r="T27" s="2"/>
      <c r="U27" s="2"/>
      <c r="V27" s="2"/>
      <c r="W27" s="2"/>
    </row>
    <row r="28" spans="1:26" ht="13" customHeight="1" x14ac:dyDescent="0.25">
      <c r="A28" s="19"/>
      <c r="B28" s="66" t="s">
        <v>28</v>
      </c>
      <c r="C28" s="67"/>
      <c r="D28" s="67"/>
      <c r="E28" s="68"/>
      <c r="F28" s="51" t="s">
        <v>1</v>
      </c>
      <c r="G28" s="51"/>
      <c r="H28" s="51"/>
      <c r="I28" s="17"/>
      <c r="J28" s="38">
        <v>75</v>
      </c>
      <c r="K28" s="52">
        <f t="shared" si="0"/>
        <v>0</v>
      </c>
      <c r="L28" s="52"/>
      <c r="M28" s="52"/>
      <c r="T28" s="2"/>
      <c r="U28" s="2"/>
      <c r="V28" s="2"/>
      <c r="W28" s="2"/>
      <c r="Z28" s="6"/>
    </row>
    <row r="29" spans="1:26" ht="13" customHeight="1" x14ac:dyDescent="0.3">
      <c r="A29" s="22"/>
      <c r="B29" s="66" t="s">
        <v>43</v>
      </c>
      <c r="C29" s="67"/>
      <c r="D29" s="67"/>
      <c r="E29" s="68"/>
      <c r="F29" s="51" t="s">
        <v>1</v>
      </c>
      <c r="G29" s="51"/>
      <c r="H29" s="51"/>
      <c r="I29" s="17"/>
      <c r="J29" s="38">
        <v>70</v>
      </c>
      <c r="K29" s="52">
        <f t="shared" si="0"/>
        <v>0</v>
      </c>
      <c r="L29" s="52"/>
      <c r="M29" s="52"/>
      <c r="T29" s="2"/>
      <c r="U29" s="2"/>
      <c r="V29" s="2"/>
      <c r="W29" s="2"/>
      <c r="Z29" s="6"/>
    </row>
    <row r="30" spans="1:26" ht="13" customHeight="1" x14ac:dyDescent="0.3">
      <c r="A30" s="22"/>
      <c r="B30" s="66" t="s">
        <v>29</v>
      </c>
      <c r="C30" s="67"/>
      <c r="D30" s="67"/>
      <c r="E30" s="68"/>
      <c r="F30" s="51" t="s">
        <v>1</v>
      </c>
      <c r="G30" s="51"/>
      <c r="H30" s="51"/>
      <c r="I30" s="17"/>
      <c r="J30" s="38">
        <v>36</v>
      </c>
      <c r="K30" s="52">
        <f t="shared" si="0"/>
        <v>0</v>
      </c>
      <c r="L30" s="52"/>
      <c r="M30" s="52"/>
      <c r="T30" s="2"/>
      <c r="U30" s="2"/>
      <c r="V30" s="2"/>
      <c r="W30" s="2"/>
      <c r="Z30" s="6"/>
    </row>
    <row r="31" spans="1:26" ht="13" customHeight="1" x14ac:dyDescent="0.3">
      <c r="A31" s="22"/>
      <c r="B31" s="66" t="s">
        <v>30</v>
      </c>
      <c r="C31" s="67"/>
      <c r="D31" s="67"/>
      <c r="E31" s="68"/>
      <c r="F31" s="51" t="s">
        <v>1</v>
      </c>
      <c r="G31" s="51"/>
      <c r="H31" s="51"/>
      <c r="I31" s="17"/>
      <c r="J31" s="38">
        <v>41</v>
      </c>
      <c r="K31" s="52">
        <f t="shared" ref="K31" si="1">I31*J31</f>
        <v>0</v>
      </c>
      <c r="L31" s="52"/>
      <c r="M31" s="52"/>
      <c r="T31" s="2"/>
      <c r="U31" s="2"/>
      <c r="V31" s="2"/>
      <c r="W31" s="2"/>
      <c r="Z31" s="6"/>
    </row>
    <row r="32" spans="1:26" ht="13" customHeight="1" x14ac:dyDescent="0.3">
      <c r="A32" s="22"/>
      <c r="B32" s="66" t="s">
        <v>125</v>
      </c>
      <c r="C32" s="67"/>
      <c r="D32" s="67"/>
      <c r="E32" s="68"/>
      <c r="F32" s="51" t="s">
        <v>1</v>
      </c>
      <c r="G32" s="51"/>
      <c r="H32" s="51"/>
      <c r="I32" s="17"/>
      <c r="J32" s="38">
        <v>78</v>
      </c>
      <c r="K32" s="52">
        <f t="shared" ref="K32" si="2">I32*J32</f>
        <v>0</v>
      </c>
      <c r="L32" s="52"/>
      <c r="M32" s="52"/>
      <c r="T32" s="2"/>
      <c r="U32" s="2"/>
      <c r="V32" s="2"/>
      <c r="W32" s="2"/>
      <c r="Z32" s="6"/>
    </row>
    <row r="33" spans="1:26" ht="13" customHeight="1" x14ac:dyDescent="0.3">
      <c r="A33" s="30" t="s">
        <v>72</v>
      </c>
      <c r="B33" s="14" t="s">
        <v>10</v>
      </c>
      <c r="C33" s="15"/>
      <c r="D33" s="15"/>
      <c r="E33" s="16"/>
      <c r="F33" s="51"/>
      <c r="G33" s="51"/>
      <c r="H33" s="51"/>
      <c r="I33" s="17"/>
      <c r="J33" s="38"/>
      <c r="K33" s="52"/>
      <c r="L33" s="52"/>
      <c r="M33" s="52"/>
      <c r="T33" s="2"/>
      <c r="U33" s="2"/>
      <c r="V33" s="2"/>
      <c r="W33" s="2"/>
      <c r="Z33" s="6"/>
    </row>
    <row r="34" spans="1:26" ht="12.75" customHeight="1" x14ac:dyDescent="0.25">
      <c r="A34" s="19"/>
      <c r="B34" s="66" t="s">
        <v>31</v>
      </c>
      <c r="C34" s="67"/>
      <c r="D34" s="67"/>
      <c r="E34" s="68"/>
      <c r="F34" s="51" t="s">
        <v>47</v>
      </c>
      <c r="G34" s="51"/>
      <c r="H34" s="51"/>
      <c r="I34" s="17"/>
      <c r="J34" s="38">
        <v>18</v>
      </c>
      <c r="K34" s="52">
        <f t="shared" si="0"/>
        <v>0</v>
      </c>
      <c r="L34" s="52"/>
      <c r="M34" s="52"/>
      <c r="T34" s="2"/>
      <c r="U34" s="2"/>
      <c r="V34" s="2"/>
      <c r="W34" s="2"/>
    </row>
    <row r="35" spans="1:26" ht="13" customHeight="1" x14ac:dyDescent="0.25">
      <c r="A35" s="19"/>
      <c r="B35" s="66" t="s">
        <v>32</v>
      </c>
      <c r="C35" s="67"/>
      <c r="D35" s="67"/>
      <c r="E35" s="68"/>
      <c r="F35" s="51" t="s">
        <v>46</v>
      </c>
      <c r="G35" s="51"/>
      <c r="H35" s="51"/>
      <c r="I35" s="17"/>
      <c r="J35" s="38">
        <v>4</v>
      </c>
      <c r="K35" s="52">
        <f t="shared" si="0"/>
        <v>0</v>
      </c>
      <c r="L35" s="52"/>
      <c r="M35" s="52"/>
      <c r="T35" s="2"/>
      <c r="U35" s="2"/>
      <c r="V35" s="2"/>
      <c r="W35" s="2"/>
      <c r="Z35" s="6"/>
    </row>
    <row r="36" spans="1:26" ht="13" customHeight="1" x14ac:dyDescent="0.3">
      <c r="A36" s="30" t="s">
        <v>73</v>
      </c>
      <c r="B36" s="14" t="s">
        <v>11</v>
      </c>
      <c r="C36" s="15"/>
      <c r="D36" s="15"/>
      <c r="E36" s="16"/>
      <c r="F36" s="51"/>
      <c r="G36" s="51"/>
      <c r="H36" s="51"/>
      <c r="I36" s="17"/>
      <c r="J36" s="38"/>
      <c r="K36" s="52">
        <f t="shared" si="0"/>
        <v>0</v>
      </c>
      <c r="L36" s="52"/>
      <c r="M36" s="52"/>
      <c r="T36" s="2"/>
      <c r="U36" s="2"/>
      <c r="V36" s="2"/>
      <c r="W36" s="2"/>
      <c r="Z36" s="7"/>
    </row>
    <row r="37" spans="1:26" ht="13" customHeight="1" x14ac:dyDescent="0.25">
      <c r="A37" s="19"/>
      <c r="B37" s="66" t="s">
        <v>111</v>
      </c>
      <c r="C37" s="67"/>
      <c r="D37" s="67"/>
      <c r="E37" s="68"/>
      <c r="F37" s="51" t="s">
        <v>47</v>
      </c>
      <c r="G37" s="51"/>
      <c r="H37" s="51"/>
      <c r="I37" s="17"/>
      <c r="J37" s="38">
        <v>27</v>
      </c>
      <c r="K37" s="52">
        <f t="shared" si="0"/>
        <v>0</v>
      </c>
      <c r="L37" s="52"/>
      <c r="M37" s="52"/>
      <c r="T37" s="2"/>
      <c r="U37" s="2"/>
      <c r="V37" s="2"/>
      <c r="W37" s="2"/>
    </row>
    <row r="38" spans="1:26" ht="13" customHeight="1" x14ac:dyDescent="0.3">
      <c r="A38" s="22"/>
      <c r="B38" s="66" t="s">
        <v>112</v>
      </c>
      <c r="C38" s="67"/>
      <c r="D38" s="67"/>
      <c r="E38" s="68"/>
      <c r="F38" s="51" t="s">
        <v>47</v>
      </c>
      <c r="G38" s="51"/>
      <c r="H38" s="51"/>
      <c r="I38" s="17"/>
      <c r="J38" s="38">
        <v>32</v>
      </c>
      <c r="K38" s="52">
        <f t="shared" si="0"/>
        <v>0</v>
      </c>
      <c r="L38" s="52"/>
      <c r="M38" s="52"/>
      <c r="T38" s="2"/>
      <c r="U38" s="2"/>
      <c r="V38" s="2"/>
      <c r="W38" s="2"/>
      <c r="Z38" s="6"/>
    </row>
    <row r="39" spans="1:26" ht="13" customHeight="1" x14ac:dyDescent="0.3">
      <c r="A39" s="22"/>
      <c r="B39" s="66" t="s">
        <v>33</v>
      </c>
      <c r="C39" s="67"/>
      <c r="D39" s="67"/>
      <c r="E39" s="68"/>
      <c r="F39" s="51" t="s">
        <v>46</v>
      </c>
      <c r="G39" s="51"/>
      <c r="H39" s="51"/>
      <c r="I39" s="17"/>
      <c r="J39" s="38"/>
      <c r="K39" s="52">
        <f t="shared" si="0"/>
        <v>0</v>
      </c>
      <c r="L39" s="52"/>
      <c r="M39" s="52"/>
      <c r="T39" s="2"/>
      <c r="U39" s="2"/>
      <c r="V39" s="2"/>
      <c r="W39" s="2"/>
      <c r="Z39" s="6"/>
    </row>
    <row r="40" spans="1:26" ht="12.75" customHeight="1" x14ac:dyDescent="0.3">
      <c r="A40" s="30" t="s">
        <v>74</v>
      </c>
      <c r="B40" s="14" t="s">
        <v>35</v>
      </c>
      <c r="C40" s="15"/>
      <c r="D40" s="15"/>
      <c r="E40" s="16"/>
      <c r="F40" s="51" t="s">
        <v>47</v>
      </c>
      <c r="G40" s="51"/>
      <c r="H40" s="51"/>
      <c r="I40" s="17"/>
      <c r="J40" s="38">
        <v>1</v>
      </c>
      <c r="K40" s="52">
        <f t="shared" si="0"/>
        <v>0</v>
      </c>
      <c r="L40" s="52"/>
      <c r="M40" s="52"/>
      <c r="T40" s="2"/>
      <c r="U40" s="2"/>
      <c r="V40" s="2"/>
      <c r="W40" s="2"/>
      <c r="Z40" s="6"/>
    </row>
    <row r="41" spans="1:26" ht="13" customHeight="1" x14ac:dyDescent="0.25">
      <c r="A41" s="30" t="s">
        <v>75</v>
      </c>
      <c r="B41" s="14" t="s">
        <v>36</v>
      </c>
      <c r="C41" s="15"/>
      <c r="D41" s="15"/>
      <c r="E41" s="16"/>
      <c r="F41" s="46"/>
      <c r="G41" s="46"/>
      <c r="H41" s="46"/>
      <c r="I41" s="17"/>
      <c r="J41" s="38"/>
      <c r="K41" s="52">
        <f t="shared" si="0"/>
        <v>0</v>
      </c>
      <c r="L41" s="52"/>
      <c r="M41" s="52"/>
      <c r="T41" s="2"/>
      <c r="U41" s="2"/>
      <c r="V41" s="2"/>
      <c r="W41" s="2"/>
      <c r="Z41" s="5"/>
    </row>
    <row r="42" spans="1:26" ht="13" customHeight="1" x14ac:dyDescent="0.3">
      <c r="A42" s="22"/>
      <c r="B42" s="66" t="s">
        <v>12</v>
      </c>
      <c r="C42" s="67"/>
      <c r="D42" s="67"/>
      <c r="E42" s="68"/>
      <c r="F42" s="51" t="s">
        <v>47</v>
      </c>
      <c r="G42" s="51"/>
      <c r="H42" s="51"/>
      <c r="I42" s="17"/>
      <c r="J42" s="38">
        <v>11</v>
      </c>
      <c r="K42" s="52">
        <f t="shared" si="0"/>
        <v>0</v>
      </c>
      <c r="L42" s="52"/>
      <c r="M42" s="52"/>
      <c r="T42" s="2"/>
      <c r="U42" s="2"/>
      <c r="V42" s="2"/>
      <c r="W42" s="2"/>
    </row>
    <row r="43" spans="1:26" ht="13" customHeight="1" x14ac:dyDescent="0.3">
      <c r="A43" s="30" t="s">
        <v>76</v>
      </c>
      <c r="B43" s="14" t="s">
        <v>48</v>
      </c>
      <c r="C43" s="15"/>
      <c r="D43" s="15"/>
      <c r="E43" s="16"/>
      <c r="F43" s="51"/>
      <c r="G43" s="51"/>
      <c r="H43" s="51"/>
      <c r="I43" s="17"/>
      <c r="J43" s="38"/>
      <c r="K43" s="52">
        <f t="shared" si="0"/>
        <v>0</v>
      </c>
      <c r="L43" s="52"/>
      <c r="M43" s="52"/>
      <c r="T43" s="2"/>
      <c r="U43" s="2"/>
      <c r="V43" s="2"/>
      <c r="W43" s="2"/>
      <c r="Z43" s="6"/>
    </row>
    <row r="44" spans="1:26" ht="13" customHeight="1" x14ac:dyDescent="0.3">
      <c r="A44" s="22"/>
      <c r="B44" s="66" t="s">
        <v>13</v>
      </c>
      <c r="C44" s="67"/>
      <c r="D44" s="67"/>
      <c r="E44" s="68"/>
      <c r="F44" s="51" t="s">
        <v>47</v>
      </c>
      <c r="G44" s="51"/>
      <c r="H44" s="51"/>
      <c r="I44" s="17"/>
      <c r="J44" s="38">
        <v>19</v>
      </c>
      <c r="K44" s="52">
        <f t="shared" si="0"/>
        <v>0</v>
      </c>
      <c r="L44" s="52"/>
      <c r="M44" s="52"/>
      <c r="T44" s="2"/>
      <c r="U44" s="2"/>
      <c r="V44" s="2"/>
      <c r="W44" s="2"/>
    </row>
    <row r="45" spans="1:26" ht="12.75" customHeight="1" x14ac:dyDescent="0.3">
      <c r="A45" s="22"/>
      <c r="B45" s="66"/>
      <c r="C45" s="67"/>
      <c r="D45" s="67"/>
      <c r="E45" s="68"/>
      <c r="F45" s="51"/>
      <c r="G45" s="51"/>
      <c r="H45" s="51"/>
      <c r="I45" s="17"/>
      <c r="J45" s="38"/>
      <c r="K45" s="52">
        <f t="shared" si="0"/>
        <v>0</v>
      </c>
      <c r="L45" s="52"/>
      <c r="M45" s="52"/>
      <c r="T45" s="2"/>
      <c r="U45" s="2"/>
      <c r="V45" s="2"/>
      <c r="W45" s="2"/>
      <c r="Z45" s="7"/>
    </row>
    <row r="46" spans="1:26" ht="13" customHeight="1" x14ac:dyDescent="0.3">
      <c r="A46" s="32" t="s">
        <v>77</v>
      </c>
      <c r="B46" s="14" t="s">
        <v>37</v>
      </c>
      <c r="C46" s="15"/>
      <c r="D46" s="15"/>
      <c r="E46" s="16"/>
      <c r="F46" s="51" t="s">
        <v>47</v>
      </c>
      <c r="G46" s="51"/>
      <c r="H46" s="51"/>
      <c r="I46" s="17"/>
      <c r="J46" s="38">
        <v>14</v>
      </c>
      <c r="K46" s="52">
        <f t="shared" si="0"/>
        <v>0</v>
      </c>
      <c r="L46" s="52"/>
      <c r="M46" s="52"/>
      <c r="T46" s="2"/>
      <c r="U46" s="2"/>
      <c r="V46" s="2"/>
      <c r="W46" s="2"/>
      <c r="Z46" s="7"/>
    </row>
    <row r="47" spans="1:26" ht="13" customHeight="1" x14ac:dyDescent="0.3">
      <c r="A47" s="32" t="s">
        <v>78</v>
      </c>
      <c r="B47" s="14" t="s">
        <v>110</v>
      </c>
      <c r="C47" s="15"/>
      <c r="D47" s="15"/>
      <c r="E47" s="16"/>
      <c r="F47" s="51" t="s">
        <v>47</v>
      </c>
      <c r="G47" s="51"/>
      <c r="H47" s="51"/>
      <c r="I47" s="17"/>
      <c r="J47" s="38">
        <v>1</v>
      </c>
      <c r="K47" s="52">
        <f>I47*J47</f>
        <v>0</v>
      </c>
      <c r="L47" s="52"/>
      <c r="M47" s="52"/>
      <c r="T47" s="2"/>
      <c r="U47" s="2"/>
      <c r="V47" s="2"/>
      <c r="W47" s="2"/>
      <c r="Z47" s="5"/>
    </row>
    <row r="48" spans="1:26" ht="13" customHeight="1" x14ac:dyDescent="0.3">
      <c r="A48" s="32" t="s">
        <v>79</v>
      </c>
      <c r="B48" s="14" t="s">
        <v>38</v>
      </c>
      <c r="C48" s="15"/>
      <c r="D48" s="15"/>
      <c r="E48" s="16" t="s">
        <v>126</v>
      </c>
      <c r="F48" s="51" t="s">
        <v>47</v>
      </c>
      <c r="G48" s="51"/>
      <c r="H48" s="51"/>
      <c r="I48" s="17"/>
      <c r="J48" s="38"/>
      <c r="K48" s="52">
        <f>I48*J48</f>
        <v>0</v>
      </c>
      <c r="L48" s="52"/>
      <c r="M48" s="52"/>
      <c r="T48" s="2"/>
      <c r="U48" s="2"/>
      <c r="V48" s="2"/>
      <c r="W48" s="2"/>
    </row>
    <row r="49" spans="1:26" ht="13" customHeight="1" x14ac:dyDescent="0.3">
      <c r="A49" s="32" t="s">
        <v>42</v>
      </c>
      <c r="B49" s="14" t="s">
        <v>39</v>
      </c>
      <c r="C49" s="15"/>
      <c r="D49" s="15"/>
      <c r="E49" s="16"/>
      <c r="F49" s="51" t="s">
        <v>47</v>
      </c>
      <c r="G49" s="51"/>
      <c r="H49" s="51"/>
      <c r="I49" s="17"/>
      <c r="J49" s="38">
        <v>0</v>
      </c>
      <c r="K49" s="52">
        <f t="shared" si="0"/>
        <v>0</v>
      </c>
      <c r="L49" s="52"/>
      <c r="M49" s="52"/>
      <c r="T49" s="2"/>
      <c r="U49" s="2"/>
      <c r="V49" s="2"/>
      <c r="W49" s="2"/>
      <c r="Z49" s="5"/>
    </row>
    <row r="50" spans="1:26" ht="13" customHeight="1" x14ac:dyDescent="0.3">
      <c r="A50" s="32" t="s">
        <v>80</v>
      </c>
      <c r="B50" s="14" t="s">
        <v>40</v>
      </c>
      <c r="C50" s="15"/>
      <c r="D50" s="15"/>
      <c r="E50" s="16"/>
      <c r="F50" s="51" t="s">
        <v>47</v>
      </c>
      <c r="G50" s="51"/>
      <c r="H50" s="51"/>
      <c r="I50" s="17"/>
      <c r="J50" s="38">
        <v>0</v>
      </c>
      <c r="K50" s="52">
        <f t="shared" si="0"/>
        <v>0</v>
      </c>
      <c r="L50" s="52"/>
      <c r="M50" s="52"/>
      <c r="T50" s="2"/>
      <c r="U50" s="2"/>
      <c r="V50" s="2"/>
      <c r="W50" s="2"/>
    </row>
    <row r="51" spans="1:26" ht="12.75" customHeight="1" x14ac:dyDescent="0.3">
      <c r="A51" s="32" t="s">
        <v>81</v>
      </c>
      <c r="B51" s="14" t="s">
        <v>41</v>
      </c>
      <c r="C51" s="15"/>
      <c r="D51" s="15"/>
      <c r="E51" s="16"/>
      <c r="F51" s="51"/>
      <c r="G51" s="51"/>
      <c r="H51" s="51"/>
      <c r="I51" s="17"/>
      <c r="J51" s="38"/>
      <c r="K51" s="52">
        <f t="shared" si="0"/>
        <v>0</v>
      </c>
      <c r="L51" s="52"/>
      <c r="M51" s="52"/>
      <c r="T51" s="2"/>
      <c r="U51" s="2"/>
      <c r="V51" s="2"/>
      <c r="W51" s="2"/>
      <c r="Z51" s="5"/>
    </row>
    <row r="52" spans="1:26" ht="13" customHeight="1" x14ac:dyDescent="0.25">
      <c r="A52" s="19"/>
      <c r="B52" s="66" t="s">
        <v>113</v>
      </c>
      <c r="C52" s="67"/>
      <c r="D52" s="67"/>
      <c r="E52" s="68"/>
      <c r="F52" s="51" t="s">
        <v>1</v>
      </c>
      <c r="G52" s="51"/>
      <c r="H52" s="51"/>
      <c r="I52" s="17"/>
      <c r="J52" s="38">
        <f>19*1.5</f>
        <v>28.5</v>
      </c>
      <c r="K52" s="52">
        <f t="shared" si="0"/>
        <v>0</v>
      </c>
      <c r="L52" s="52"/>
      <c r="M52" s="52"/>
      <c r="T52" s="2"/>
      <c r="U52" s="2"/>
      <c r="V52" s="2"/>
      <c r="W52" s="2"/>
    </row>
    <row r="53" spans="1:26" ht="13" customHeight="1" x14ac:dyDescent="0.25">
      <c r="A53" s="19"/>
      <c r="B53" s="66" t="s">
        <v>114</v>
      </c>
      <c r="C53" s="67"/>
      <c r="D53" s="67"/>
      <c r="E53" s="68"/>
      <c r="F53" s="51" t="s">
        <v>1</v>
      </c>
      <c r="G53" s="51"/>
      <c r="H53" s="51"/>
      <c r="I53" s="17"/>
      <c r="J53" s="38">
        <v>32</v>
      </c>
      <c r="K53" s="52">
        <f t="shared" ref="K53" si="3">I53*J53</f>
        <v>0</v>
      </c>
      <c r="L53" s="52"/>
      <c r="M53" s="52"/>
      <c r="T53" s="2"/>
      <c r="U53" s="2"/>
      <c r="V53" s="2"/>
      <c r="W53" s="2"/>
    </row>
    <row r="54" spans="1:26" ht="13" customHeight="1" x14ac:dyDescent="0.25">
      <c r="A54" s="41" t="s">
        <v>82</v>
      </c>
      <c r="B54" s="69" t="s">
        <v>116</v>
      </c>
      <c r="C54" s="70"/>
      <c r="D54" s="70"/>
      <c r="E54" s="71"/>
      <c r="F54" s="51" t="s">
        <v>45</v>
      </c>
      <c r="G54" s="51"/>
      <c r="H54" s="51"/>
      <c r="I54" s="17"/>
      <c r="J54" s="38">
        <v>152</v>
      </c>
      <c r="K54" s="52">
        <f t="shared" ref="K54" si="4">I54*J54</f>
        <v>0</v>
      </c>
      <c r="L54" s="52"/>
      <c r="M54" s="52"/>
      <c r="T54" s="2"/>
      <c r="U54" s="2"/>
      <c r="V54" s="2"/>
      <c r="W54" s="2"/>
    </row>
    <row r="55" spans="1:26" ht="17" customHeight="1" x14ac:dyDescent="0.3">
      <c r="A55" s="30" t="s">
        <v>109</v>
      </c>
      <c r="B55" s="14" t="s">
        <v>14</v>
      </c>
      <c r="C55" s="15"/>
      <c r="D55" s="15"/>
      <c r="E55" s="16"/>
      <c r="F55" s="51" t="s">
        <v>47</v>
      </c>
      <c r="G55" s="51"/>
      <c r="H55" s="51"/>
      <c r="I55" s="17"/>
      <c r="J55" s="38">
        <v>1</v>
      </c>
      <c r="K55" s="52">
        <f t="shared" ref="K55" si="5">I55*J55</f>
        <v>0</v>
      </c>
      <c r="L55" s="52"/>
      <c r="M55" s="52"/>
      <c r="Z55" s="7"/>
    </row>
    <row r="56" spans="1:26" ht="14" customHeight="1" x14ac:dyDescent="0.25">
      <c r="A56" s="23"/>
      <c r="B56" s="72" t="s">
        <v>51</v>
      </c>
      <c r="C56" s="72"/>
      <c r="D56" s="72"/>
      <c r="E56" s="72"/>
      <c r="F56" s="56"/>
      <c r="G56" s="56"/>
      <c r="H56" s="56"/>
      <c r="I56" s="24"/>
      <c r="J56" s="39"/>
      <c r="K56" s="57">
        <f>+SUM(K22:M55)</f>
        <v>0</v>
      </c>
      <c r="L56" s="57"/>
      <c r="M56" s="57"/>
    </row>
    <row r="57" spans="1:26" ht="13" customHeight="1" x14ac:dyDescent="0.3">
      <c r="A57" s="26" t="s">
        <v>53</v>
      </c>
      <c r="B57" s="63" t="s">
        <v>93</v>
      </c>
      <c r="C57" s="63"/>
      <c r="D57" s="63"/>
      <c r="E57" s="63"/>
      <c r="F57" s="64" t="s">
        <v>49</v>
      </c>
      <c r="G57" s="64"/>
      <c r="H57" s="64"/>
      <c r="I57" s="27"/>
      <c r="J57" s="40"/>
      <c r="K57" s="65" t="s">
        <v>94</v>
      </c>
      <c r="L57" s="65"/>
      <c r="M57" s="65"/>
    </row>
    <row r="58" spans="1:26" ht="12.75" customHeight="1" x14ac:dyDescent="0.3">
      <c r="A58" s="33">
        <v>3</v>
      </c>
      <c r="B58" s="48" t="s">
        <v>95</v>
      </c>
      <c r="C58" s="48"/>
      <c r="D58" s="48"/>
      <c r="E58" s="48"/>
      <c r="F58" s="49"/>
      <c r="G58" s="49"/>
      <c r="H58" s="49"/>
      <c r="I58" s="13"/>
      <c r="J58" s="37"/>
      <c r="K58" s="50"/>
      <c r="L58" s="50"/>
      <c r="M58" s="50"/>
    </row>
    <row r="59" spans="1:26" ht="13" customHeight="1" x14ac:dyDescent="0.25">
      <c r="A59" s="30" t="s">
        <v>83</v>
      </c>
      <c r="B59" s="45" t="s">
        <v>96</v>
      </c>
      <c r="C59" s="45"/>
      <c r="D59" s="45"/>
      <c r="E59" s="45"/>
      <c r="F59" s="46"/>
      <c r="G59" s="46"/>
      <c r="H59" s="46"/>
      <c r="I59" s="17"/>
      <c r="J59" s="38"/>
      <c r="K59" s="47"/>
      <c r="L59" s="47"/>
      <c r="M59" s="47"/>
    </row>
    <row r="60" spans="1:26" ht="13" customHeight="1" x14ac:dyDescent="0.25">
      <c r="A60" s="19"/>
      <c r="B60" s="54" t="s">
        <v>117</v>
      </c>
      <c r="C60" s="53"/>
      <c r="D60" s="53"/>
      <c r="E60" s="53"/>
      <c r="F60" s="51" t="s">
        <v>1</v>
      </c>
      <c r="G60" s="51"/>
      <c r="H60" s="51"/>
      <c r="I60" s="17"/>
      <c r="J60" s="38">
        <v>54</v>
      </c>
      <c r="K60" s="52">
        <f t="shared" ref="K60:K61" si="6">I60*J60</f>
        <v>0</v>
      </c>
      <c r="L60" s="52"/>
      <c r="M60" s="52"/>
    </row>
    <row r="61" spans="1:26" ht="13" customHeight="1" x14ac:dyDescent="0.25">
      <c r="A61" s="19"/>
      <c r="B61" s="54" t="s">
        <v>118</v>
      </c>
      <c r="C61" s="53"/>
      <c r="D61" s="53"/>
      <c r="E61" s="53"/>
      <c r="F61" s="51" t="s">
        <v>1</v>
      </c>
      <c r="G61" s="51"/>
      <c r="H61" s="51"/>
      <c r="I61" s="17"/>
      <c r="J61" s="38">
        <v>89</v>
      </c>
      <c r="K61" s="52">
        <f t="shared" si="6"/>
        <v>0</v>
      </c>
      <c r="L61" s="52"/>
      <c r="M61" s="52"/>
    </row>
    <row r="62" spans="1:26" ht="16" customHeight="1" x14ac:dyDescent="0.25">
      <c r="A62" s="30" t="s">
        <v>84</v>
      </c>
      <c r="B62" s="45" t="s">
        <v>97</v>
      </c>
      <c r="C62" s="45"/>
      <c r="D62" s="45"/>
      <c r="E62" s="45"/>
      <c r="F62" s="46"/>
      <c r="G62" s="46"/>
      <c r="H62" s="46"/>
      <c r="I62" s="17"/>
      <c r="J62" s="38"/>
      <c r="K62" s="52">
        <f t="shared" ref="K62:K77" si="7">I62*J62</f>
        <v>0</v>
      </c>
      <c r="L62" s="52"/>
      <c r="M62" s="52"/>
    </row>
    <row r="63" spans="1:26" ht="19" customHeight="1" x14ac:dyDescent="0.25">
      <c r="A63" s="19"/>
      <c r="B63" s="54" t="s">
        <v>119</v>
      </c>
      <c r="C63" s="53"/>
      <c r="D63" s="53"/>
      <c r="E63" s="53"/>
      <c r="F63" s="51" t="s">
        <v>1</v>
      </c>
      <c r="G63" s="51"/>
      <c r="H63" s="51"/>
      <c r="I63" s="17"/>
      <c r="J63" s="38">
        <v>309</v>
      </c>
      <c r="K63" s="52">
        <f t="shared" si="7"/>
        <v>0</v>
      </c>
      <c r="L63" s="52"/>
      <c r="M63" s="52"/>
    </row>
    <row r="64" spans="1:26" ht="16" customHeight="1" x14ac:dyDescent="0.25">
      <c r="A64" s="19"/>
      <c r="B64" s="54" t="s">
        <v>120</v>
      </c>
      <c r="C64" s="53"/>
      <c r="D64" s="53"/>
      <c r="E64" s="53"/>
      <c r="F64" s="51" t="s">
        <v>1</v>
      </c>
      <c r="G64" s="51"/>
      <c r="H64" s="51"/>
      <c r="I64" s="17"/>
      <c r="J64" s="38">
        <v>445</v>
      </c>
      <c r="K64" s="52">
        <f t="shared" si="7"/>
        <v>0</v>
      </c>
      <c r="L64" s="52"/>
      <c r="M64" s="52"/>
    </row>
    <row r="65" spans="1:17" ht="12.75" customHeight="1" x14ac:dyDescent="0.25">
      <c r="A65" s="30" t="s">
        <v>85</v>
      </c>
      <c r="B65" s="45" t="s">
        <v>98</v>
      </c>
      <c r="C65" s="45"/>
      <c r="D65" s="45"/>
      <c r="E65" s="45"/>
      <c r="F65" s="46"/>
      <c r="G65" s="46"/>
      <c r="H65" s="46"/>
      <c r="I65" s="17"/>
      <c r="J65" s="38"/>
      <c r="K65" s="52">
        <f t="shared" si="7"/>
        <v>0</v>
      </c>
      <c r="L65" s="52"/>
      <c r="M65" s="52"/>
    </row>
    <row r="66" spans="1:17" ht="13" customHeight="1" x14ac:dyDescent="0.3">
      <c r="A66" s="21"/>
      <c r="B66" s="54" t="s">
        <v>121</v>
      </c>
      <c r="C66" s="53"/>
      <c r="D66" s="53"/>
      <c r="E66" s="53"/>
      <c r="F66" s="51" t="s">
        <v>1</v>
      </c>
      <c r="G66" s="51"/>
      <c r="H66" s="51"/>
      <c r="I66" s="17"/>
      <c r="J66" s="38">
        <v>309</v>
      </c>
      <c r="K66" s="52">
        <f t="shared" si="7"/>
        <v>0</v>
      </c>
      <c r="L66" s="52"/>
      <c r="M66" s="52"/>
    </row>
    <row r="67" spans="1:17" ht="13" customHeight="1" x14ac:dyDescent="0.25">
      <c r="A67" s="19"/>
      <c r="B67" s="54" t="s">
        <v>122</v>
      </c>
      <c r="C67" s="53"/>
      <c r="D67" s="53"/>
      <c r="E67" s="53"/>
      <c r="F67" s="51" t="s">
        <v>1</v>
      </c>
      <c r="G67" s="51"/>
      <c r="H67" s="51"/>
      <c r="I67" s="17"/>
      <c r="J67" s="38">
        <v>445</v>
      </c>
      <c r="K67" s="52">
        <f t="shared" si="7"/>
        <v>0</v>
      </c>
      <c r="L67" s="52"/>
      <c r="M67" s="52"/>
    </row>
    <row r="68" spans="1:17" ht="13" customHeight="1" x14ac:dyDescent="0.3">
      <c r="A68" s="30" t="s">
        <v>86</v>
      </c>
      <c r="B68" s="45" t="s">
        <v>99</v>
      </c>
      <c r="C68" s="45"/>
      <c r="D68" s="45"/>
      <c r="E68" s="45"/>
      <c r="F68" s="51" t="s">
        <v>47</v>
      </c>
      <c r="G68" s="51"/>
      <c r="H68" s="51"/>
      <c r="I68" s="17"/>
      <c r="J68" s="38">
        <v>21</v>
      </c>
      <c r="K68" s="52">
        <f t="shared" si="7"/>
        <v>0</v>
      </c>
      <c r="L68" s="52"/>
      <c r="M68" s="52"/>
    </row>
    <row r="69" spans="1:17" ht="13" customHeight="1" x14ac:dyDescent="0.25">
      <c r="A69" s="30" t="s">
        <v>87</v>
      </c>
      <c r="B69" s="45" t="s">
        <v>100</v>
      </c>
      <c r="C69" s="45"/>
      <c r="D69" s="45"/>
      <c r="E69" s="45"/>
      <c r="F69" s="46"/>
      <c r="G69" s="46"/>
      <c r="H69" s="46"/>
      <c r="I69" s="17"/>
      <c r="J69" s="38"/>
      <c r="K69" s="52">
        <f t="shared" si="7"/>
        <v>0</v>
      </c>
      <c r="L69" s="52"/>
      <c r="M69" s="52"/>
    </row>
    <row r="70" spans="1:17" ht="13" customHeight="1" x14ac:dyDescent="0.25">
      <c r="A70" s="19"/>
      <c r="B70" s="53" t="s">
        <v>101</v>
      </c>
      <c r="C70" s="53"/>
      <c r="D70" s="53"/>
      <c r="E70" s="53"/>
      <c r="F70" s="51" t="s">
        <v>47</v>
      </c>
      <c r="G70" s="51"/>
      <c r="H70" s="51"/>
      <c r="I70" s="17"/>
      <c r="J70" s="38">
        <v>18</v>
      </c>
      <c r="K70" s="52">
        <f t="shared" si="7"/>
        <v>0</v>
      </c>
      <c r="L70" s="52"/>
      <c r="M70" s="52"/>
    </row>
    <row r="71" spans="1:17" ht="12.75" customHeight="1" x14ac:dyDescent="0.25">
      <c r="A71" s="19"/>
      <c r="B71" s="53"/>
      <c r="C71" s="53"/>
      <c r="D71" s="53"/>
      <c r="E71" s="53"/>
      <c r="F71" s="51"/>
      <c r="G71" s="51"/>
      <c r="H71" s="51"/>
      <c r="I71" s="17"/>
      <c r="J71" s="38"/>
      <c r="K71" s="52">
        <f t="shared" si="7"/>
        <v>0</v>
      </c>
      <c r="L71" s="52"/>
      <c r="M71" s="52"/>
    </row>
    <row r="72" spans="1:17" ht="13" customHeight="1" x14ac:dyDescent="0.3">
      <c r="A72" s="30" t="s">
        <v>88</v>
      </c>
      <c r="B72" s="45" t="s">
        <v>102</v>
      </c>
      <c r="C72" s="45"/>
      <c r="D72" s="45"/>
      <c r="E72" s="45"/>
      <c r="F72" s="51" t="s">
        <v>47</v>
      </c>
      <c r="G72" s="51"/>
      <c r="H72" s="51"/>
      <c r="I72" s="17"/>
      <c r="J72" s="38">
        <v>1</v>
      </c>
      <c r="K72" s="52">
        <f t="shared" si="7"/>
        <v>0</v>
      </c>
      <c r="L72" s="52"/>
      <c r="M72" s="52"/>
    </row>
    <row r="73" spans="1:17" ht="13" customHeight="1" x14ac:dyDescent="0.3">
      <c r="A73" s="30" t="s">
        <v>89</v>
      </c>
      <c r="B73" s="45" t="s">
        <v>103</v>
      </c>
      <c r="C73" s="45"/>
      <c r="D73" s="45"/>
      <c r="E73" s="45"/>
      <c r="F73" s="51" t="s">
        <v>47</v>
      </c>
      <c r="G73" s="51"/>
      <c r="H73" s="51"/>
      <c r="I73" s="17"/>
      <c r="J73" s="38">
        <v>1</v>
      </c>
      <c r="K73" s="52">
        <f t="shared" si="7"/>
        <v>0</v>
      </c>
      <c r="L73" s="52"/>
      <c r="M73" s="52"/>
    </row>
    <row r="74" spans="1:17" ht="13" customHeight="1" x14ac:dyDescent="0.3">
      <c r="A74" s="30" t="s">
        <v>90</v>
      </c>
      <c r="B74" s="45" t="s">
        <v>104</v>
      </c>
      <c r="C74" s="45"/>
      <c r="D74" s="45"/>
      <c r="E74" s="45"/>
      <c r="F74" s="51" t="s">
        <v>47</v>
      </c>
      <c r="G74" s="51"/>
      <c r="H74" s="51"/>
      <c r="I74" s="17"/>
      <c r="J74" s="38">
        <v>18</v>
      </c>
      <c r="K74" s="52">
        <f t="shared" si="7"/>
        <v>0</v>
      </c>
      <c r="L74" s="52"/>
      <c r="M74" s="52"/>
    </row>
    <row r="75" spans="1:17" ht="13" customHeight="1" x14ac:dyDescent="0.3">
      <c r="A75" s="30" t="s">
        <v>91</v>
      </c>
      <c r="B75" s="45" t="s">
        <v>105</v>
      </c>
      <c r="C75" s="45"/>
      <c r="D75" s="45"/>
      <c r="E75" s="45"/>
      <c r="F75" s="51" t="s">
        <v>47</v>
      </c>
      <c r="G75" s="51"/>
      <c r="H75" s="51"/>
      <c r="I75" s="17"/>
      <c r="J75" s="38">
        <v>1</v>
      </c>
      <c r="K75" s="52">
        <f t="shared" si="7"/>
        <v>0</v>
      </c>
      <c r="L75" s="52"/>
      <c r="M75" s="52"/>
    </row>
    <row r="76" spans="1:17" ht="13" customHeight="1" x14ac:dyDescent="0.3">
      <c r="A76" s="30" t="s">
        <v>115</v>
      </c>
      <c r="B76" s="45" t="s">
        <v>123</v>
      </c>
      <c r="C76" s="45"/>
      <c r="D76" s="45"/>
      <c r="E76" s="45"/>
      <c r="F76" s="51" t="s">
        <v>47</v>
      </c>
      <c r="G76" s="51"/>
      <c r="H76" s="51"/>
      <c r="I76" s="17"/>
      <c r="J76" s="38">
        <v>1</v>
      </c>
      <c r="K76" s="52">
        <f t="shared" ref="K76" si="8">I76*J76</f>
        <v>0</v>
      </c>
      <c r="L76" s="52"/>
      <c r="M76" s="52"/>
    </row>
    <row r="77" spans="1:17" ht="17" customHeight="1" x14ac:dyDescent="0.3">
      <c r="A77" s="34" t="s">
        <v>92</v>
      </c>
      <c r="B77" s="58" t="s">
        <v>14</v>
      </c>
      <c r="C77" s="58"/>
      <c r="D77" s="58"/>
      <c r="E77" s="58"/>
      <c r="F77" s="51" t="s">
        <v>44</v>
      </c>
      <c r="G77" s="51"/>
      <c r="H77" s="51"/>
      <c r="I77" s="17"/>
      <c r="J77" s="38">
        <v>1</v>
      </c>
      <c r="K77" s="52">
        <f t="shared" si="7"/>
        <v>0</v>
      </c>
      <c r="L77" s="52"/>
      <c r="M77" s="52"/>
    </row>
    <row r="78" spans="1:17" ht="16" customHeight="1" x14ac:dyDescent="0.3">
      <c r="A78" s="21"/>
      <c r="B78" s="59" t="s">
        <v>52</v>
      </c>
      <c r="C78" s="59"/>
      <c r="D78" s="59"/>
      <c r="E78" s="59"/>
      <c r="F78" s="60"/>
      <c r="G78" s="60"/>
      <c r="H78" s="60"/>
      <c r="I78" s="17"/>
      <c r="J78" s="18"/>
      <c r="K78" s="61">
        <f>+SUM(K60:M77)</f>
        <v>0</v>
      </c>
      <c r="L78" s="61"/>
      <c r="M78" s="61"/>
    </row>
    <row r="79" spans="1:17" x14ac:dyDescent="0.3">
      <c r="A79" s="21"/>
      <c r="B79" s="60" t="s">
        <v>106</v>
      </c>
      <c r="C79" s="60"/>
      <c r="D79" s="60"/>
      <c r="E79" s="60"/>
      <c r="F79" s="60"/>
      <c r="G79" s="60"/>
      <c r="H79" s="60"/>
      <c r="I79" s="17"/>
      <c r="J79" s="18"/>
      <c r="K79" s="62">
        <f>+SUM(K78,K56,K19)</f>
        <v>0</v>
      </c>
      <c r="L79" s="62"/>
      <c r="M79" s="62"/>
      <c r="P79" s="36"/>
      <c r="Q79" s="36"/>
    </row>
    <row r="80" spans="1:17" x14ac:dyDescent="0.3">
      <c r="A80" s="21"/>
      <c r="B80" s="45" t="s">
        <v>107</v>
      </c>
      <c r="C80" s="45"/>
      <c r="D80" s="45"/>
      <c r="E80" s="45"/>
      <c r="F80" s="60"/>
      <c r="G80" s="60"/>
      <c r="H80" s="60"/>
      <c r="I80" s="17"/>
      <c r="J80" s="18"/>
      <c r="K80" s="61">
        <f>+K79*0.2</f>
        <v>0</v>
      </c>
      <c r="L80" s="61"/>
      <c r="M80" s="61"/>
    </row>
    <row r="81" spans="1:13" x14ac:dyDescent="0.25">
      <c r="A81" s="23"/>
      <c r="B81" s="55" t="s">
        <v>108</v>
      </c>
      <c r="C81" s="55"/>
      <c r="D81" s="55"/>
      <c r="E81" s="55"/>
      <c r="F81" s="56"/>
      <c r="G81" s="56"/>
      <c r="H81" s="56"/>
      <c r="I81" s="24"/>
      <c r="J81" s="25"/>
      <c r="K81" s="57">
        <f>+K80+K79</f>
        <v>0</v>
      </c>
      <c r="L81" s="57"/>
      <c r="M81" s="57"/>
    </row>
  </sheetData>
  <mergeCells count="207">
    <mergeCell ref="B44:E44"/>
    <mergeCell ref="B45:E45"/>
    <mergeCell ref="B37:E37"/>
    <mergeCell ref="B38:E38"/>
    <mergeCell ref="B39:E39"/>
    <mergeCell ref="B42:E42"/>
    <mergeCell ref="F22:H22"/>
    <mergeCell ref="K22:M22"/>
    <mergeCell ref="F23:H23"/>
    <mergeCell ref="K23:M23"/>
    <mergeCell ref="F24:H24"/>
    <mergeCell ref="K24:M24"/>
    <mergeCell ref="F25:H25"/>
    <mergeCell ref="K25:M25"/>
    <mergeCell ref="F26:H26"/>
    <mergeCell ref="K26:M26"/>
    <mergeCell ref="F27:H27"/>
    <mergeCell ref="K27:M27"/>
    <mergeCell ref="F28:H28"/>
    <mergeCell ref="K28:M28"/>
    <mergeCell ref="F29:H29"/>
    <mergeCell ref="K29:M29"/>
    <mergeCell ref="F30:H30"/>
    <mergeCell ref="B32:E32"/>
    <mergeCell ref="B19:E19"/>
    <mergeCell ref="B24:E24"/>
    <mergeCell ref="B25:E25"/>
    <mergeCell ref="B27:E27"/>
    <mergeCell ref="B28:E28"/>
    <mergeCell ref="B29:E29"/>
    <mergeCell ref="B30:E30"/>
    <mergeCell ref="B35:E35"/>
    <mergeCell ref="B34:E34"/>
    <mergeCell ref="B31:E31"/>
    <mergeCell ref="B2:E2"/>
    <mergeCell ref="F2:H2"/>
    <mergeCell ref="K2:M2"/>
    <mergeCell ref="F9:H9"/>
    <mergeCell ref="K9:M9"/>
    <mergeCell ref="F10:H10"/>
    <mergeCell ref="K10:M10"/>
    <mergeCell ref="F11:H11"/>
    <mergeCell ref="K11:M11"/>
    <mergeCell ref="F3:H3"/>
    <mergeCell ref="K3:M3"/>
    <mergeCell ref="F4:H4"/>
    <mergeCell ref="K4:M4"/>
    <mergeCell ref="F5:H5"/>
    <mergeCell ref="K5:M5"/>
    <mergeCell ref="F6:H6"/>
    <mergeCell ref="K6:M6"/>
    <mergeCell ref="F7:H7"/>
    <mergeCell ref="K7:M7"/>
    <mergeCell ref="F8:H8"/>
    <mergeCell ref="K8:M8"/>
    <mergeCell ref="F12:H12"/>
    <mergeCell ref="K12:M12"/>
    <mergeCell ref="F13:H13"/>
    <mergeCell ref="K13:M13"/>
    <mergeCell ref="F14:H14"/>
    <mergeCell ref="K14:M14"/>
    <mergeCell ref="F15:H15"/>
    <mergeCell ref="K15:M15"/>
    <mergeCell ref="F16:H16"/>
    <mergeCell ref="K16:M16"/>
    <mergeCell ref="F17:H17"/>
    <mergeCell ref="K17:M17"/>
    <mergeCell ref="F18:H18"/>
    <mergeCell ref="K18:M18"/>
    <mergeCell ref="F19:H19"/>
    <mergeCell ref="K19:M19"/>
    <mergeCell ref="F20:H20"/>
    <mergeCell ref="K20:M20"/>
    <mergeCell ref="F21:H21"/>
    <mergeCell ref="K21:M21"/>
    <mergeCell ref="K30:M30"/>
    <mergeCell ref="F33:H33"/>
    <mergeCell ref="K33:M33"/>
    <mergeCell ref="F34:H34"/>
    <mergeCell ref="K34:M34"/>
    <mergeCell ref="F35:H35"/>
    <mergeCell ref="K35:M35"/>
    <mergeCell ref="F36:H36"/>
    <mergeCell ref="K36:M36"/>
    <mergeCell ref="F31:H31"/>
    <mergeCell ref="K31:M31"/>
    <mergeCell ref="F32:H32"/>
    <mergeCell ref="K32:M32"/>
    <mergeCell ref="F37:H37"/>
    <mergeCell ref="K37:M37"/>
    <mergeCell ref="F38:H38"/>
    <mergeCell ref="K38:M38"/>
    <mergeCell ref="F39:H39"/>
    <mergeCell ref="K39:M39"/>
    <mergeCell ref="F40:H40"/>
    <mergeCell ref="K40:M40"/>
    <mergeCell ref="F41:H41"/>
    <mergeCell ref="K41:M41"/>
    <mergeCell ref="F46:H46"/>
    <mergeCell ref="K46:M46"/>
    <mergeCell ref="F47:H47"/>
    <mergeCell ref="K47:M47"/>
    <mergeCell ref="F48:H48"/>
    <mergeCell ref="K48:M48"/>
    <mergeCell ref="F49:H49"/>
    <mergeCell ref="K49:M49"/>
    <mergeCell ref="F42:H42"/>
    <mergeCell ref="K42:M42"/>
    <mergeCell ref="F43:H43"/>
    <mergeCell ref="K43:M43"/>
    <mergeCell ref="F44:H44"/>
    <mergeCell ref="K44:M44"/>
    <mergeCell ref="F45:H45"/>
    <mergeCell ref="K45:M45"/>
    <mergeCell ref="F50:H50"/>
    <mergeCell ref="K50:M50"/>
    <mergeCell ref="F51:H51"/>
    <mergeCell ref="K51:M51"/>
    <mergeCell ref="F52:H52"/>
    <mergeCell ref="K52:M52"/>
    <mergeCell ref="F56:H56"/>
    <mergeCell ref="K56:M56"/>
    <mergeCell ref="B57:E57"/>
    <mergeCell ref="F57:H57"/>
    <mergeCell ref="K57:M57"/>
    <mergeCell ref="F55:H55"/>
    <mergeCell ref="K55:M55"/>
    <mergeCell ref="B52:E52"/>
    <mergeCell ref="B54:E54"/>
    <mergeCell ref="F54:H54"/>
    <mergeCell ref="K54:M54"/>
    <mergeCell ref="B53:E53"/>
    <mergeCell ref="F53:H53"/>
    <mergeCell ref="K53:M53"/>
    <mergeCell ref="B56:E56"/>
    <mergeCell ref="B72:E72"/>
    <mergeCell ref="F72:H72"/>
    <mergeCell ref="K72:M72"/>
    <mergeCell ref="B63:E63"/>
    <mergeCell ref="B67:E67"/>
    <mergeCell ref="F67:H67"/>
    <mergeCell ref="K67:M67"/>
    <mergeCell ref="B68:E68"/>
    <mergeCell ref="F68:H68"/>
    <mergeCell ref="K68:M68"/>
    <mergeCell ref="F63:H63"/>
    <mergeCell ref="K63:M63"/>
    <mergeCell ref="B64:E64"/>
    <mergeCell ref="F64:H64"/>
    <mergeCell ref="K64:M64"/>
    <mergeCell ref="B65:E65"/>
    <mergeCell ref="F65:H65"/>
    <mergeCell ref="K65:M65"/>
    <mergeCell ref="B69:E69"/>
    <mergeCell ref="F69:H69"/>
    <mergeCell ref="K69:M69"/>
    <mergeCell ref="B70:E70"/>
    <mergeCell ref="F70:H70"/>
    <mergeCell ref="K70:M70"/>
    <mergeCell ref="B81:E81"/>
    <mergeCell ref="F81:H81"/>
    <mergeCell ref="K81:M81"/>
    <mergeCell ref="B77:E77"/>
    <mergeCell ref="F77:H77"/>
    <mergeCell ref="K77:M77"/>
    <mergeCell ref="B78:E78"/>
    <mergeCell ref="F78:H78"/>
    <mergeCell ref="K78:M78"/>
    <mergeCell ref="B79:E79"/>
    <mergeCell ref="F79:H79"/>
    <mergeCell ref="K79:M79"/>
    <mergeCell ref="B80:E80"/>
    <mergeCell ref="F80:H80"/>
    <mergeCell ref="K80:M80"/>
    <mergeCell ref="B61:E61"/>
    <mergeCell ref="F61:H61"/>
    <mergeCell ref="K61:M61"/>
    <mergeCell ref="B62:E62"/>
    <mergeCell ref="F62:H62"/>
    <mergeCell ref="K62:M62"/>
    <mergeCell ref="B66:E66"/>
    <mergeCell ref="F66:H66"/>
    <mergeCell ref="K66:M66"/>
    <mergeCell ref="B59:E59"/>
    <mergeCell ref="F59:H59"/>
    <mergeCell ref="K59:M59"/>
    <mergeCell ref="B58:E58"/>
    <mergeCell ref="F58:H58"/>
    <mergeCell ref="K58:M58"/>
    <mergeCell ref="B76:E76"/>
    <mergeCell ref="F76:H76"/>
    <mergeCell ref="K76:M76"/>
    <mergeCell ref="B73:E73"/>
    <mergeCell ref="F73:H73"/>
    <mergeCell ref="K73:M73"/>
    <mergeCell ref="B74:E74"/>
    <mergeCell ref="F74:H74"/>
    <mergeCell ref="K74:M74"/>
    <mergeCell ref="B75:E75"/>
    <mergeCell ref="F75:H75"/>
    <mergeCell ref="K75:M75"/>
    <mergeCell ref="B71:E71"/>
    <mergeCell ref="F71:H71"/>
    <mergeCell ref="K71:M71"/>
    <mergeCell ref="B60:E60"/>
    <mergeCell ref="F60:H60"/>
    <mergeCell ref="K60:M60"/>
  </mergeCells>
  <printOptions horizontalCentered="1"/>
  <pageMargins left="0.70866141732283472" right="0.70866141732283472" top="0.74803149606299213" bottom="0.74803149606299213" header="0.31496062992125984" footer="0.31496062992125984"/>
  <pageSetup paperSize="9" scale="76" orientation="portrait" horizontalDpi="1200" verticalDpi="1200" r:id="rId1"/>
  <rowBreaks count="1" manualBreakCount="1">
    <brk id="56" max="16383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Plages nommées</vt:lpstr>
      </vt:variant>
      <vt:variant>
        <vt:i4>1</vt:i4>
      </vt:variant>
    </vt:vector>
  </HeadingPairs>
  <TitlesOfParts>
    <vt:vector size="2" baseType="lpstr">
      <vt:lpstr>DPGF LOT1B</vt:lpstr>
      <vt:lpstr>'DPGF LOT1B'!Zone_d_impression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Audrey Sierri</dc:creator>
  <cp:lastModifiedBy>gregory TISSIER</cp:lastModifiedBy>
  <cp:lastPrinted>2022-06-27T15:29:57Z</cp:lastPrinted>
  <dcterms:created xsi:type="dcterms:W3CDTF">2022-06-23T17:55:52Z</dcterms:created>
  <dcterms:modified xsi:type="dcterms:W3CDTF">2026-06-29T15:13:20Z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2021-07-26T00:00:00Z</vt:filetime>
  </property>
  <property fmtid="{D5CDD505-2E9C-101B-9397-08002B2CF9AE}" pid="3" name="Creator">
    <vt:lpwstr>PDFsam Enhanced 7</vt:lpwstr>
  </property>
  <property fmtid="{D5CDD505-2E9C-101B-9397-08002B2CF9AE}" pid="4" name="LastSaved">
    <vt:filetime>2022-06-23T00:00:00Z</vt:filetime>
  </property>
  <property fmtid="{D5CDD505-2E9C-101B-9397-08002B2CF9AE}" pid="5" name="Producer">
    <vt:lpwstr>PDFsam Enhanced 7</vt:lpwstr>
  </property>
</Properties>
</file>